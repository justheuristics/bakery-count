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ceImport" sheetId="2" state="visible" r:id="rId4"/>
    <sheet name="NoPriceInSource" sheetId="3" state="visible" r:id="rId5"/>
    <sheet name="Conflicts" sheetId="4" state="visible" r:id="rId6"/>
    <sheet name="ChangeLog" sheetId="5" state="visible" r:id="rId7"/>
  </sheets>
  <definedNames>
    <definedName function="false" hidden="true" localSheetId="1" name="_xlnm._FilterDatabase" vbProcedure="false">PriceImport!$A$2:$P$297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<sst xmlns="http://schemas.openxmlformats.org/spreadsheetml/2006/main" count="2926" uniqueCount="857">
  <si>
    <t xml:space="preserve">Bakery Price Import Template — FILLED (Aug 2026)</t>
  </si>
  <si>
    <t xml:space="preserve">Purpose</t>
  </si>
  <si>
    <t xml:space="preserve">Upload file for the Bakery counting app price import (Ticket 8). One row per item code.</t>
  </si>
  <si>
    <t xml:space="preserve">Source document</t>
  </si>
  <si>
    <t xml:space="preserve">Code 206 Bakery — official monthly price confirmation, Fresh Food Commercial.</t>
  </si>
  <si>
    <t xml:space="preserve">Signed: Associate Director Fresh Food / Director Commercial Fresh Food.</t>
  </si>
  <si>
    <t xml:space="preserve">Source files</t>
  </si>
  <si>
    <t xml:space="preserve">Bakery_Inventory_Adjustment-_FBK.xlsx + Bakery_Inventory_Adjustment-__2026_2_17_57.xlsx</t>
  </si>
  <si>
    <t xml:space="preserve">Price validity</t>
  </si>
  <si>
    <t xml:space="preserve">1-31 August 2026</t>
  </si>
  <si>
    <t xml:space="preserve">Price basis</t>
  </si>
  <si>
    <t xml:space="preserve">EX VAT — instructed by Just, 14 Aug 2026.</t>
  </si>
  <si>
    <t xml:space="preserve">effectiveFrom</t>
  </si>
  <si>
    <t xml:space="preserve">2026-08</t>
  </si>
  <si>
    <t xml:space="preserve">priceUom basis</t>
  </si>
  <si>
    <t xml:space="preserve">packtype from master_uom.json. Price is per ONE packtype unit.</t>
  </si>
  <si>
    <t xml:space="preserve">Verified: item 741756 = THB 3,200 per lang; master_uom pack_size 11,340 g. Consistent.</t>
  </si>
  <si>
    <t xml:space="preserve">!! VAT BASIS CHANGE</t>
  </si>
  <si>
    <t xml:space="preserve">master_cost.json today stores cost_vat = VAT-INCLUSIVE. 62 of 90 sampled items match IN VAT exactly; 0 match EX VAT.</t>
  </si>
  <si>
    <t xml:space="preserve">Importing EX VAT therefore DROPS every displayed cost by ~6.5% (1/1.07) with no user-visible explanation.</t>
  </si>
  <si>
    <t xml:space="preserve">DECISION NEEDED before import: (a) proceed EX VAT and restate, or (b) import IN VAT for continuity.</t>
  </si>
  <si>
    <t xml:space="preserve">Either way the app must persist a priceBasis field so the basis is never ambiguous again.</t>
  </si>
  <si>
    <t xml:space="preserve">!! STORE-SCOPED PRICES</t>
  </si>
  <si>
    <t xml:space="preserve">The Loose file applies only to stores 2 / 17 / 57. 26 codes appear in both files; 5 have different prices.</t>
  </si>
  <si>
    <t xml:space="preserve">The app has ONE global price per item and cannot model this. All-stores file used as the default.</t>
  </si>
  <si>
    <t xml:space="preserve">See the Conflicts sheet. Needs a decision with Phat.</t>
  </si>
  <si>
    <t xml:space="preserve">SCOPE</t>
  </si>
  <si>
    <t xml:space="preserve">BAKERY ONLY. Zero code overlap with the Packaging app item master.</t>
  </si>
  <si>
    <t xml:space="preserve">The Fresh Food Packaging non-trade price list (CGA / K.Sornmongkol) is still outstanding.</t>
  </si>
  <si>
    <t xml:space="preserve">Which cells to edit</t>
  </si>
  <si>
    <t xml:space="preserve">Sheet PriceImport, column K (New Price EX VAT) only — shaded yellow.</t>
  </si>
  <si>
    <t xml:space="preserve">Do NOT edit column A (Code) — it is the match key. Do not reorder or rename columns.</t>
  </si>
  <si>
    <t xml:space="preserve">Sheet guide</t>
  </si>
  <si>
    <t xml:space="preserve">PriceImport / NoPriceInSource / Conflicts / ChangeLog</t>
  </si>
  <si>
    <t xml:space="preserve">Cost label</t>
  </si>
  <si>
    <t xml:space="preserve">Estimated cost only — not an official value. RMS remains authoritative.</t>
  </si>
  <si>
    <t xml:space="preserve">PRICE IMPORT — edit column K only (yellow). Column A (Code) is the match key.</t>
  </si>
  <si>
    <t xml:space="preserve">Code</t>
  </si>
  <si>
    <t xml:space="preserve">Item Name</t>
  </si>
  <si>
    <t xml:space="preserve">Class</t>
  </si>
  <si>
    <t xml:space="preserve">In Item Master</t>
  </si>
  <si>
    <t xml:space="preserve">Countable</t>
  </si>
  <si>
    <t xml:space="preserve">priceUom</t>
  </si>
  <si>
    <t xml:space="preserve">Pack Size</t>
  </si>
  <si>
    <t xml:space="preserve">Sub UOM</t>
  </si>
  <si>
    <t xml:space="preserve">Current Cost (IN VAT)</t>
  </si>
  <si>
    <t xml:space="preserve">Current Cost EX VAT (derived)</t>
  </si>
  <si>
    <t xml:space="preserve">New Price EX VAT</t>
  </si>
  <si>
    <t xml:space="preserve">Delta %</t>
  </si>
  <si>
    <t xml:space="preserve">Status</t>
  </si>
  <si>
    <t xml:space="preserve">Supplier</t>
  </si>
  <si>
    <t xml:space="preserve">Source Doc</t>
  </si>
  <si>
    <t xml:space="preserve">125789</t>
  </si>
  <si>
    <t xml:space="preserve">เบคอนคลาสสิค1กก.*4</t>
  </si>
  <si>
    <t xml:space="preserve">Y</t>
  </si>
  <si>
    <t xml:space="preserve">ลัง</t>
  </si>
  <si>
    <t xml:space="preserve">กรัม</t>
  </si>
  <si>
    <t xml:space="preserve">CHANGED</t>
  </si>
  <si>
    <t xml:space="preserve">บจก.เบทาโกรเกษตรอุตสาหกรรม</t>
  </si>
  <si>
    <t xml:space="preserve">Code 206 (all stores)</t>
  </si>
  <si>
    <t xml:space="preserve">125844</t>
  </si>
  <si>
    <t xml:space="preserve">ไส้กรอกเวียนนาAคลาสสิค(ไก่ผสมหมู)</t>
  </si>
  <si>
    <t xml:space="preserve">ถุง</t>
  </si>
  <si>
    <t xml:space="preserve">125892</t>
  </si>
  <si>
    <t xml:space="preserve">แฮมหมูคลาสสิค1กก.*4</t>
  </si>
  <si>
    <t xml:space="preserve">154810</t>
  </si>
  <si>
    <t xml:space="preserve">CITRI-FI200 FG 1*20 KG.</t>
  </si>
  <si>
    <t xml:space="preserve">บจก.ท็อปไฟลท์ อินเตอร์ฟู้ดส์</t>
  </si>
  <si>
    <t xml:space="preserve">183153</t>
  </si>
  <si>
    <t xml:space="preserve">ทิวลิปดาร์คชอคโกแลตชิพกลาง550กX2</t>
  </si>
  <si>
    <t xml:space="preserve">-</t>
  </si>
  <si>
    <t xml:space="preserve">บจก.ซีโน-แปซิฟิค เทรดดิ้ง(ไทยแลนด์)</t>
  </si>
  <si>
    <t xml:space="preserve">204345</t>
  </si>
  <si>
    <t xml:space="preserve">BF ผงฟู สูตรดับเบิลแอ็คติง 1 กก.</t>
  </si>
  <si>
    <t xml:space="preserve">แพ็ค</t>
  </si>
  <si>
    <t xml:space="preserve">บจก.ยูนิลีเวอร์ ไทย เทรดดิ้ง</t>
  </si>
  <si>
    <t xml:space="preserve">204492</t>
  </si>
  <si>
    <t xml:space="preserve">แป้งมอยส์ชอคโกแลตมิกซ์ 20กก*1ถุง</t>
  </si>
  <si>
    <t xml:space="preserve">บจก.พูราโต๊ส(ประเทศไทย)</t>
  </si>
  <si>
    <t xml:space="preserve">213966</t>
  </si>
  <si>
    <t xml:space="preserve">เอโร่เปลือกทาร์ตFZ18ชิ้น</t>
  </si>
  <si>
    <t xml:space="preserve">ชิ้น</t>
  </si>
  <si>
    <t xml:space="preserve">HANGZHOU GLOBAL FOOD SOLUTIONS CO.,LTD.</t>
  </si>
  <si>
    <t xml:space="preserve">295346</t>
  </si>
  <si>
    <t xml:space="preserve">กล่องจตุรัส  MAK10 200 ชิ้นX1</t>
  </si>
  <si>
    <t xml:space="preserve">กล่อง</t>
  </si>
  <si>
    <t xml:space="preserve">บจ.เทพวิมลพลาสติก</t>
  </si>
  <si>
    <t xml:space="preserve">Code 206 Loose (stores 2/17/57)</t>
  </si>
  <si>
    <t xml:space="preserve">303819</t>
  </si>
  <si>
    <t xml:space="preserve">RM_กล่องขนมบรรจุ 3 ชิ้น 450ชุดX1</t>
  </si>
  <si>
    <t xml:space="preserve">338432</t>
  </si>
  <si>
    <t xml:space="preserve">โดว์ขนมปังใบเตยมะพร้าว 80กx80ชนx1</t>
  </si>
  <si>
    <t xml:space="preserve">บจก.อาร์ต ออฟ เบคกิ้ง</t>
  </si>
  <si>
    <t xml:space="preserve">399180</t>
  </si>
  <si>
    <t xml:space="preserve">กล่อง6ช่องฝาในตัวMAK03-1 300ชนX1</t>
  </si>
  <si>
    <t xml:space="preserve">752564</t>
  </si>
  <si>
    <t xml:space="preserve">ไส้ไข่เค็มลาวากวน 1 กก. X 1</t>
  </si>
  <si>
    <t xml:space="preserve">บจ.เอเล็งจ์ ฟู้ด อินดัสทรีส์ (ประเทศไทย)</t>
  </si>
  <si>
    <t xml:space="preserve">791442</t>
  </si>
  <si>
    <t xml:space="preserve">ไส้เนื้อเค้กกลิ่นวานิลลา1200ก.x6</t>
  </si>
  <si>
    <t xml:space="preserve">บจก.ซันเมอรี่</t>
  </si>
  <si>
    <t xml:space="preserve">820892</t>
  </si>
  <si>
    <t xml:space="preserve">กล้วยหอมแช่แข็ง5กกX2ถุง</t>
  </si>
  <si>
    <t xml:space="preserve">บริษัท คิง ฟรุทส์ จำกัด</t>
  </si>
  <si>
    <t xml:space="preserve">833556</t>
  </si>
  <si>
    <t xml:space="preserve">แป้งขนมปัง CJ22.5กก.X1กระสอบ</t>
  </si>
  <si>
    <t xml:space="preserve">กระสอบ</t>
  </si>
  <si>
    <t xml:space="preserve">บจก.คอนเนค เอเชีย อินเตอร์ฟู้ด</t>
  </si>
  <si>
    <t xml:space="preserve">833557</t>
  </si>
  <si>
    <t xml:space="preserve">แป้งเค้กCJ22.5กก.X1กระสอบ</t>
  </si>
  <si>
    <t xml:space="preserve">833558</t>
  </si>
  <si>
    <t xml:space="preserve">แป้งอเนกประสงค์CJ22.5กก.X1กระสอบ</t>
  </si>
  <si>
    <t xml:space="preserve">836096</t>
  </si>
  <si>
    <t xml:space="preserve">เอส500 อัลตร้า1กกX 1 ถุง</t>
  </si>
  <si>
    <t xml:space="preserve">846014</t>
  </si>
  <si>
    <t xml:space="preserve">เบรคฟาสต์ซอสเซจ5.5นิ้ว1KG X10</t>
  </si>
  <si>
    <t xml:space="preserve">860310</t>
  </si>
  <si>
    <t xml:space="preserve">โคฟเวอร์ลักซ์ ดาร์ค 1 กก X 10</t>
  </si>
  <si>
    <t xml:space="preserve">871971</t>
  </si>
  <si>
    <t xml:space="preserve">กล่องทาร์ต 2 ช่อง MAK32 300ชุด X1</t>
  </si>
  <si>
    <t xml:space="preserve">ชุด</t>
  </si>
  <si>
    <t xml:space="preserve">919757</t>
  </si>
  <si>
    <t xml:space="preserve">กล่อง 9 ช่อง 100ชิ้นx1</t>
  </si>
  <si>
    <t xml:space="preserve">921130</t>
  </si>
  <si>
    <t xml:space="preserve">กล่องคุกกี้ 5 ชิ้น 200ชิ้นx1</t>
  </si>
  <si>
    <t xml:space="preserve">922290</t>
  </si>
  <si>
    <t xml:space="preserve">ถุงIPPA ARO GOLD8.5"x12.5"x1000x1</t>
  </si>
  <si>
    <t xml:space="preserve">บจ. ไพรซ์ อินเตอร์แพค (1999)</t>
  </si>
  <si>
    <t xml:space="preserve">922291</t>
  </si>
  <si>
    <t xml:space="preserve">ถุง IPPA ARO GOLD 9"x15.5"x1000x1</t>
  </si>
  <si>
    <t xml:space="preserve">ใบ</t>
  </si>
  <si>
    <t xml:space="preserve">925386</t>
  </si>
  <si>
    <t xml:space="preserve">กล่องเบเกอรี่H6ฝาล็อคX1000ชิ้นX1</t>
  </si>
  <si>
    <t xml:space="preserve">926716</t>
  </si>
  <si>
    <t xml:space="preserve">โบนัส น้ำมันพืช 1ล.  X 12(ยกลัง)</t>
  </si>
  <si>
    <t xml:space="preserve">บจ.สุขสมบูรณ์น้ำมันพืช</t>
  </si>
  <si>
    <t xml:space="preserve">974289</t>
  </si>
  <si>
    <t xml:space="preserve">เนื้อมะพร้าวแช่แข็งแบบเส้น1กก.X1</t>
  </si>
  <si>
    <t xml:space="preserve">บมจ. เซ็ปเป้</t>
  </si>
  <si>
    <t xml:space="preserve">155074</t>
  </si>
  <si>
    <t xml:space="preserve">คอร์นมิกซ์ 10กก.*1</t>
  </si>
  <si>
    <t xml:space="preserve">กิโลกรัม</t>
  </si>
  <si>
    <t xml:space="preserve">NEW - no existing cost record</t>
  </si>
  <si>
    <t xml:space="preserve">บมจ.เคซีจี คอร์ปอเรชั่น</t>
  </si>
  <si>
    <t xml:space="preserve">155110</t>
  </si>
  <si>
    <t xml:space="preserve">แป้งไรย์ชนิดละเอียด 5กก.*1</t>
  </si>
  <si>
    <t xml:space="preserve">155112</t>
  </si>
  <si>
    <t xml:space="preserve">นันแดรี่วิปปิ้งครีม1000ซีซี*12</t>
  </si>
  <si>
    <t xml:space="preserve">กระป๋อง</t>
  </si>
  <si>
    <t xml:space="preserve">บริษัท เคซีจี คอร์ปอเรชั่น จำกัด</t>
  </si>
  <si>
    <t xml:space="preserve">155191</t>
  </si>
  <si>
    <t xml:space="preserve">เรดดี้เจลนิวทรอล 12กระป๋อง*1กก.</t>
  </si>
  <si>
    <t xml:space="preserve">155218</t>
  </si>
  <si>
    <t xml:space="preserve">เอสพีโกลด์ 20กก.*1</t>
  </si>
  <si>
    <t xml:space="preserve">บจก.แคลแทค</t>
  </si>
  <si>
    <t xml:space="preserve">197135</t>
  </si>
  <si>
    <t xml:space="preserve">สติ๊กเกอร์ขนมปังกระเทียมFZ2000ใบ</t>
  </si>
  <si>
    <t xml:space="preserve">ห่อ</t>
  </si>
  <si>
    <t xml:space="preserve">บจก.พี.สเกล แอดเวอร์ไทซิ่ง</t>
  </si>
  <si>
    <t xml:space="preserve">205225</t>
  </si>
  <si>
    <t xml:space="preserve">แป้งสาลีโกลด์เด้นมิกซ์ 22.5 กก*1</t>
  </si>
  <si>
    <t xml:space="preserve">บริษัท แป้งสหการ จำกัด</t>
  </si>
  <si>
    <t xml:space="preserve">230753</t>
  </si>
  <si>
    <t xml:space="preserve">ยูโรเปี้ยนมัฟฟิน มิกส์ 15กกX1</t>
  </si>
  <si>
    <t xml:space="preserve">บริษัท เบเกิลส์ (ไทยแลนด์) จำกัด</t>
  </si>
  <si>
    <t xml:space="preserve">230760</t>
  </si>
  <si>
    <t xml:space="preserve">เชื้อเข้มข้นกลิ่นชอคโกแลต1กก.</t>
  </si>
  <si>
    <t xml:space="preserve">230761</t>
  </si>
  <si>
    <t xml:space="preserve">โคโค่มิกซ์1*10กก.</t>
  </si>
  <si>
    <t xml:space="preserve">230806</t>
  </si>
  <si>
    <t xml:space="preserve">เชื้อกลิ่นเนยวานิลลา 1กก.</t>
  </si>
  <si>
    <t xml:space="preserve">230810</t>
  </si>
  <si>
    <t xml:space="preserve">เชื้อเข้มข้นกลิ่นกาแฟ1กก.</t>
  </si>
  <si>
    <t xml:space="preserve">230851</t>
  </si>
  <si>
    <t xml:space="preserve">โอวาเล็ต 800 กรัมX1</t>
  </si>
  <si>
    <t xml:space="preserve">กระปุก</t>
  </si>
  <si>
    <t xml:space="preserve">537212</t>
  </si>
  <si>
    <t xml:space="preserve">เนยขาวโอพีครีม 15กก.*1</t>
  </si>
  <si>
    <t xml:space="preserve">บจก.เกตุวานิชอุตสาหกรรม</t>
  </si>
  <si>
    <t xml:space="preserve">802837</t>
  </si>
  <si>
    <t xml:space="preserve">ถุงขนมปังซันเบลสโฮลวีท960กX3000ใบ</t>
  </si>
  <si>
    <t xml:space="preserve">บจก.ยูนิเวอร์ส แพ็ค</t>
  </si>
  <si>
    <t xml:space="preserve">802838</t>
  </si>
  <si>
    <t xml:space="preserve">ถุงขนมปังซันเบลสโฮลวีท480กX5000ใบ</t>
  </si>
  <si>
    <t xml:space="preserve">802840</t>
  </si>
  <si>
    <t xml:space="preserve">ถุงขนมปังซันเบลส 480กX5000ใบ</t>
  </si>
  <si>
    <t xml:space="preserve">841172</t>
  </si>
  <si>
    <t xml:space="preserve">เนยขาวทอดโดนัท15 กก.(KV)ยกลัง</t>
  </si>
  <si>
    <t xml:space="preserve">บริษัท เกตุวานิชอุตสาหกรรม จำกัด</t>
  </si>
  <si>
    <t xml:space="preserve">855219</t>
  </si>
  <si>
    <t xml:space="preserve">มินิเค้กแฟนซีช็อกกานาช35กX48ชน.</t>
  </si>
  <si>
    <t xml:space="preserve">855221</t>
  </si>
  <si>
    <t xml:space="preserve">มินิเค้กคอฟฟี่คาราเมลอัลมอน30กX48</t>
  </si>
  <si>
    <t xml:space="preserve">855223</t>
  </si>
  <si>
    <t xml:space="preserve">มินิเค้กแฟนซีแยมการ์ตูน30กX48ชน.</t>
  </si>
  <si>
    <t xml:space="preserve">900023</t>
  </si>
  <si>
    <t xml:space="preserve">อีซี่ ซอฟท์ เมลติ้ง 10 กก. X 1ถุง</t>
  </si>
  <si>
    <t xml:space="preserve">901013</t>
  </si>
  <si>
    <t xml:space="preserve">สโนว์ไลน์ เอส 11 1 กกX2ถุง</t>
  </si>
  <si>
    <t xml:space="preserve">109830</t>
  </si>
  <si>
    <t xml:space="preserve">คนอร์ พิซซ่าซอส 1000ก.X1</t>
  </si>
  <si>
    <t xml:space="preserve">NO PRICE - use store retail cost</t>
  </si>
  <si>
    <t xml:space="preserve">เบิกในสโตร์</t>
  </si>
  <si>
    <t xml:space="preserve">121586</t>
  </si>
  <si>
    <t xml:space="preserve">เซพแพ็คสวีทเบเกอรีมายองเนส1000กX1</t>
  </si>
  <si>
    <t xml:space="preserve">198368</t>
  </si>
  <si>
    <t xml:space="preserve">ARO ไข่ไก่ เบอร์ 2 มีฝา 30 ฟอง</t>
  </si>
  <si>
    <t xml:space="preserve">แผง</t>
  </si>
  <si>
    <t xml:space="preserve">ฟอง</t>
  </si>
  <si>
    <t xml:space="preserve">202995</t>
  </si>
  <si>
    <t xml:space="preserve">ลิน น้ำตาลไอซิ่ง900กรัม*1</t>
  </si>
  <si>
    <t xml:space="preserve">ใช้ราคาทุนหน้าร้าน</t>
  </si>
  <si>
    <t xml:space="preserve">668317</t>
  </si>
  <si>
    <t xml:space="preserve">เอโร่เกลือเสริมไอโอดีน 5กก.X1ถุง</t>
  </si>
  <si>
    <t xml:space="preserve">800659</t>
  </si>
  <si>
    <t xml:space="preserve">ฟอลคอน นมข้นจืด 1000มล.X12</t>
  </si>
  <si>
    <t xml:space="preserve">805241</t>
  </si>
  <si>
    <t xml:space="preserve">ไวท์เบอร์เกอร์สไลด์โพรเซสชีสX1</t>
  </si>
  <si>
    <t xml:space="preserve">837643</t>
  </si>
  <si>
    <t xml:space="preserve">AROแป้งข้าวโพด 1000ก*1</t>
  </si>
  <si>
    <t xml:space="preserve">864201</t>
  </si>
  <si>
    <t xml:space="preserve">ตราเอโร่ น้ำส้มสายชูฯ 5% 4500มลX1</t>
  </si>
  <si>
    <t xml:space="preserve">106901</t>
  </si>
  <si>
    <t xml:space="preserve">RM_อิมพีเรียลเรดดี้เจลนิวทรอล1กก.</t>
  </si>
  <si>
    <t xml:space="preserve">Unchanged</t>
  </si>
  <si>
    <t xml:space="preserve">111418</t>
  </si>
  <si>
    <t xml:space="preserve">พายกะหรี่ไก่90กรัม*50ชิ้น</t>
  </si>
  <si>
    <t xml:space="preserve">หจก.พีพีพัฟ</t>
  </si>
  <si>
    <t xml:space="preserve">111419</t>
  </si>
  <si>
    <t xml:space="preserve">พายสับปะรด85กรัมX50ชิ้น</t>
  </si>
  <si>
    <t xml:space="preserve">112057</t>
  </si>
  <si>
    <t xml:space="preserve">หมูหยองหมูผสมไก่สูตรสีเข้ม1กก.X5</t>
  </si>
  <si>
    <t xml:space="preserve">บจ.นันตา ฟู้ด</t>
  </si>
  <si>
    <t xml:space="preserve">117886</t>
  </si>
  <si>
    <t xml:space="preserve">มินิครัวซองต์20ก.X360ชิ้น</t>
  </si>
  <si>
    <t xml:space="preserve">บจก.เอเชียฟู้ดแอนด์แมชชีนเนอรี่</t>
  </si>
  <si>
    <t xml:space="preserve">133352</t>
  </si>
  <si>
    <t xml:space="preserve">ขนมเปี๊ยะไส้ถั่ว45ก.*120ชิ้น</t>
  </si>
  <si>
    <t xml:space="preserve">หจก.นิวไทยทีเบเกอรี่</t>
  </si>
  <si>
    <t xml:space="preserve">141305</t>
  </si>
  <si>
    <t xml:space="preserve">พายทูน่า85ก.*50 ชิ้น</t>
  </si>
  <si>
    <t xml:space="preserve">143737</t>
  </si>
  <si>
    <t xml:space="preserve">ขนมเปี๊ยะไส้ถั่วเค็ม45ก.*120ชิ้น</t>
  </si>
  <si>
    <t xml:space="preserve">154813</t>
  </si>
  <si>
    <t xml:space="preserve">KRAFTKORN MIX 1*10KG.</t>
  </si>
  <si>
    <t xml:space="preserve">บจก. จาโกต้า บราเดอร์ส เทรดดิ้ง</t>
  </si>
  <si>
    <t xml:space="preserve">162408</t>
  </si>
  <si>
    <t xml:space="preserve">เดนิชแผ่น10'X20"(20แผ่น)</t>
  </si>
  <si>
    <t xml:space="preserve">163374</t>
  </si>
  <si>
    <t xml:space="preserve">เดนิชสับปะรด(มือเสือ)43กX100ช</t>
  </si>
  <si>
    <t xml:space="preserve">163376</t>
  </si>
  <si>
    <t xml:space="preserve">เดนิชลูกเกด45ก.*100</t>
  </si>
  <si>
    <t xml:space="preserve">163379</t>
  </si>
  <si>
    <t xml:space="preserve">เดนิชอัลมอนด์ดีไลท์45ก.*100</t>
  </si>
  <si>
    <t xml:space="preserve">163385</t>
  </si>
  <si>
    <t xml:space="preserve">ชอคโกแลตชิพสติ๊ก45ก.*100</t>
  </si>
  <si>
    <t xml:space="preserve">165463</t>
  </si>
  <si>
    <t xml:space="preserve">ครัวซองต์เนยสด50 ก.X180ชิ้น</t>
  </si>
  <si>
    <t xml:space="preserve">182866</t>
  </si>
  <si>
    <t xml:space="preserve">เบคกิ้งโซดาตราเบสท์โอเดอร์500ก*1</t>
  </si>
  <si>
    <t xml:space="preserve">บมจ.อาร์ แอนด์ บี ฟู้ด ซัพพลาย</t>
  </si>
  <si>
    <t xml:space="preserve">190398</t>
  </si>
  <si>
    <t xml:space="preserve">RM_คุกกี้ช็อกชิพเฮอร์ชีส์35กx80ช</t>
  </si>
  <si>
    <t xml:space="preserve">195653</t>
  </si>
  <si>
    <t xml:space="preserve">กล่องใส่เค้ก 1*25 ชิ้น</t>
  </si>
  <si>
    <t xml:space="preserve">บจก.คงทองกล่องกระดาษ</t>
  </si>
  <si>
    <t xml:space="preserve">198311</t>
  </si>
  <si>
    <t xml:space="preserve">เบคซอฟท์เบรดพรีมิกซ์10กก*1</t>
  </si>
  <si>
    <t xml:space="preserve">บจก.บีเจซี สเปเชียลตี้ส์</t>
  </si>
  <si>
    <t xml:space="preserve">198389</t>
  </si>
  <si>
    <t xml:space="preserve">สติ๊กเกอร์สายคาดชีตทาร์ต1500ช.X1</t>
  </si>
  <si>
    <t xml:space="preserve">บจ.มาสเตอร์เลเบล</t>
  </si>
  <si>
    <t xml:space="preserve">198696</t>
  </si>
  <si>
    <t xml:space="preserve">เนยขาว ตรา แกรนด์ 15 กก.X1</t>
  </si>
  <si>
    <t xml:space="preserve">226346</t>
  </si>
  <si>
    <t xml:space="preserve">บรักกิ้มานยีสต์น้ำตาล10กก</t>
  </si>
  <si>
    <t xml:space="preserve">227848</t>
  </si>
  <si>
    <t xml:space="preserve">แป้งไดบาเก็ต10%  25กกX1</t>
  </si>
  <si>
    <t xml:space="preserve">230754</t>
  </si>
  <si>
    <t xml:space="preserve">กล่องใส่เค้ก1X50ชิ้น (ลดครึ่งยาว)</t>
  </si>
  <si>
    <t xml:space="preserve">230809</t>
  </si>
  <si>
    <t xml:space="preserve">แป้งวีทบรานแซนด์วิช1*10กก.</t>
  </si>
  <si>
    <t xml:space="preserve">234916</t>
  </si>
  <si>
    <t xml:space="preserve">เชื้อกลิ่นวนิลา1กก</t>
  </si>
  <si>
    <t xml:space="preserve">281556</t>
  </si>
  <si>
    <t xml:space="preserve">RM_สติ๊กเกอร์เฟรช 1000 ชิ้น x 1</t>
  </si>
  <si>
    <t xml:space="preserve">316825</t>
  </si>
  <si>
    <t xml:space="preserve">เพรสซิเด้นท์ครีมชีส 2 กก. X 1</t>
  </si>
  <si>
    <t xml:space="preserve">ก้อน</t>
  </si>
  <si>
    <t xml:space="preserve">บจ.กูร์เมท์ แอนด์ เบฟเวอร์เรจ วัน กรุ๊ป(ประเทศไทย)</t>
  </si>
  <si>
    <t xml:space="preserve">317649</t>
  </si>
  <si>
    <t xml:space="preserve">RM_คุกกี้ช็อกโกแลตชิพ45 ก.x80ชx1</t>
  </si>
  <si>
    <t xml:space="preserve">326124</t>
  </si>
  <si>
    <t xml:space="preserve">ถาดฟอยล์สีเงิน 4576I 400ชิ้นX 1</t>
  </si>
  <si>
    <t xml:space="preserve">บจก.ยูเนียนอินต้า</t>
  </si>
  <si>
    <t xml:space="preserve">344085</t>
  </si>
  <si>
    <t xml:space="preserve">RM_สติ๊กเกอร์คุกกี้เฮอร์ชีส์300ชน</t>
  </si>
  <si>
    <t xml:space="preserve">358213</t>
  </si>
  <si>
    <t xml:space="preserve">RM_สติ๊กเกอร์ครัวซองต์300ชิ้นx1</t>
  </si>
  <si>
    <t xml:space="preserve">358619</t>
  </si>
  <si>
    <t xml:space="preserve">RM_ครัวซองต์ผสมลูกเกด90กx60ชx1</t>
  </si>
  <si>
    <t xml:space="preserve">บจก. ปารีส แบงคอก เบเกอรี่</t>
  </si>
  <si>
    <t xml:space="preserve">369481</t>
  </si>
  <si>
    <t xml:space="preserve">RM_สายคาดคุกกี้เชฟพลอย200ชิ้นx1</t>
  </si>
  <si>
    <t xml:space="preserve">602234</t>
  </si>
  <si>
    <t xml:space="preserve">ไชน์โรดชีสฟิลลิ่ง1กก.X12 กล่องX1</t>
  </si>
  <si>
    <t xml:space="preserve">741756</t>
  </si>
  <si>
    <t xml:space="preserve">อัลมอนด์สไลซ์ 11.34 กก. x 1</t>
  </si>
  <si>
    <t xml:space="preserve">หจก.อรุณทิพย์อิม-เอ็กซ์ปอร์ต</t>
  </si>
  <si>
    <t xml:space="preserve">802110</t>
  </si>
  <si>
    <t xml:space="preserve">ถุงขนมปังฝรั่งเศส 1X1000 ใบ</t>
  </si>
  <si>
    <t xml:space="preserve">บจ.อัลฟ่า อินเตอร์พลัส</t>
  </si>
  <si>
    <t xml:space="preserve">802111</t>
  </si>
  <si>
    <t xml:space="preserve">ถุงขนมปังยุโรป 1X1000 ใบ</t>
  </si>
  <si>
    <t xml:space="preserve">802839</t>
  </si>
  <si>
    <t xml:space="preserve">ถุงขนมปังซันเบลส 960กX3000ใบ</t>
  </si>
  <si>
    <t xml:space="preserve">815050</t>
  </si>
  <si>
    <t xml:space="preserve">เอโร่ทาร์ตไข่เหลว FZ 850X1</t>
  </si>
  <si>
    <t xml:space="preserve">บมจ.ซีพีเอฟ โกลบอล ฟู้ด โซลูชั่น</t>
  </si>
  <si>
    <t xml:space="preserve">818483</t>
  </si>
  <si>
    <t xml:space="preserve">ฟอนเทียร่านมผงเต็มไขมัน 25กก</t>
  </si>
  <si>
    <t xml:space="preserve">บจก.ไอ เอส เอ็ม ฟูดส์ โปรดักส์</t>
  </si>
  <si>
    <t xml:space="preserve">823099</t>
  </si>
  <si>
    <t xml:space="preserve">อลาวรี่ซอล์ทเต็ดบัตเตอร์เบลนด์5กก</t>
  </si>
  <si>
    <t xml:space="preserve">835371</t>
  </si>
  <si>
    <t xml:space="preserve">อินโนว่าครัวซองต์โฮลวีท48กX90ชิ้น</t>
  </si>
  <si>
    <t xml:space="preserve">บจก.อินโนว่า ฟู้ด แอนด์ เบค</t>
  </si>
  <si>
    <t xml:space="preserve">837805</t>
  </si>
  <si>
    <t xml:space="preserve">INNOแผ่นแป้งPZหวานแช่แข็ง100กX40ช</t>
  </si>
  <si>
    <t xml:space="preserve">839465</t>
  </si>
  <si>
    <t xml:space="preserve">ถาดฟอยล์#4573(รวมตัว+ฝา)1X600ชิ้น</t>
  </si>
  <si>
    <t xml:space="preserve">850108</t>
  </si>
  <si>
    <t xml:space="preserve">วนิลาเอแคลร์ฟิลลิ่ง 1 กก X 1 ถุง</t>
  </si>
  <si>
    <t xml:space="preserve">852624</t>
  </si>
  <si>
    <t xml:space="preserve">น้ำตาลทรายขาวบริสุทธิ์KBS 25กก.X1</t>
  </si>
  <si>
    <t xml:space="preserve">บมจ.น้ำตาลครบุรี</t>
  </si>
  <si>
    <t xml:space="preserve">858626</t>
  </si>
  <si>
    <t xml:space="preserve">มอสซาเรล่าชีสเส้น 1 กกX 6</t>
  </si>
  <si>
    <t xml:space="preserve">859995</t>
  </si>
  <si>
    <t xml:space="preserve">ยีสต์ผงบรักกี้มาน(ฟ้า) 500 ก. X20</t>
  </si>
  <si>
    <t xml:space="preserve">859997</t>
  </si>
  <si>
    <t xml:space="preserve">กระทงกระดาษขาว NO3219A 1X16000ชน</t>
  </si>
  <si>
    <t xml:space="preserve">891040</t>
  </si>
  <si>
    <t xml:space="preserve">ไส้กรอกไก่เวียนนา1000ก(50ชิ้น)</t>
  </si>
  <si>
    <t xml:space="preserve">บจก.จีเอสบี อินเตอร์เนชั่นเนล</t>
  </si>
  <si>
    <t xml:space="preserve">907335</t>
  </si>
  <si>
    <t xml:space="preserve">คาราเมลซอส FZ 1 กก. X 5 ถุง</t>
  </si>
  <si>
    <t xml:space="preserve">บจก.บี.อี.ฟู้ดส์</t>
  </si>
  <si>
    <t xml:space="preserve">911979</t>
  </si>
  <si>
    <t xml:space="preserve">โดจ์เดนิชไก่หยองก้นหอย45*100</t>
  </si>
  <si>
    <t xml:space="preserve">922164</t>
  </si>
  <si>
    <t xml:space="preserve">ถุงขนมปังARO GOLD9.5"X17.5"1500ใบ</t>
  </si>
  <si>
    <t xml:space="preserve">923862</t>
  </si>
  <si>
    <t xml:space="preserve">สารกันเชื้อราเบสท์โอเดอร์500ก.X1</t>
  </si>
  <si>
    <t xml:space="preserve">925514</t>
  </si>
  <si>
    <t xml:space="preserve">เนยเทียม ตราแซมซั่นโกลด์ 15 กกx1</t>
  </si>
  <si>
    <t xml:space="preserve">927461</t>
  </si>
  <si>
    <t xml:space="preserve">ชาไทยฟิลลิ่ง 1 กก. X 10</t>
  </si>
  <si>
    <t xml:space="preserve">929670</t>
  </si>
  <si>
    <t xml:space="preserve">FZมินิครัวซองต์โฮลวีท 20ก.x200ชX1</t>
  </si>
  <si>
    <t xml:space="preserve">930223</t>
  </si>
  <si>
    <t xml:space="preserve">FZมินิพายสตรอเบอรี 25ก.X240ชX1</t>
  </si>
  <si>
    <t xml:space="preserve">930225</t>
  </si>
  <si>
    <t xml:space="preserve">FZมินิพายแยมสับปะรด 25 ก.X240ชX1</t>
  </si>
  <si>
    <t xml:space="preserve">982069</t>
  </si>
  <si>
    <t xml:space="preserve">โอคุนทาร์ตรูปดอกไม้30กX20ชX1พค</t>
  </si>
  <si>
    <t xml:space="preserve">106732</t>
  </si>
  <si>
    <t xml:space="preserve">พลาสเลย์ตรามือ 50กรัมX1</t>
  </si>
  <si>
    <t xml:space="preserve">N</t>
  </si>
  <si>
    <t xml:space="preserve">106818</t>
  </si>
  <si>
    <t xml:space="preserve">พริกไทยเกล็ดดำตรามือ 1กก.X1</t>
  </si>
  <si>
    <t xml:space="preserve">113757</t>
  </si>
  <si>
    <t xml:space="preserve">ARO ถุงกระดาษน้ำตาล 13X21 ซม.</t>
  </si>
  <si>
    <t xml:space="preserve">116018</t>
  </si>
  <si>
    <t xml:space="preserve">แม็กกาแรตสับปะรดแว่น565กX3</t>
  </si>
  <si>
    <t xml:space="preserve">134447</t>
  </si>
  <si>
    <t xml:space="preserve">เอโร่ สลัดครีม 1 กก.</t>
  </si>
  <si>
    <t xml:space="preserve">134544</t>
  </si>
  <si>
    <t xml:space="preserve">เอโร่ มายองเนส 1 กก.</t>
  </si>
  <si>
    <t xml:space="preserve">140355</t>
  </si>
  <si>
    <t xml:space="preserve">เฟร้นซ์ สไปซี่มัสตาร์ด 340กรัมX1</t>
  </si>
  <si>
    <t xml:space="preserve">169314</t>
  </si>
  <si>
    <t xml:space="preserve">เกล็ดขนมปัง Save pack</t>
  </si>
  <si>
    <t xml:space="preserve">174476</t>
  </si>
  <si>
    <t xml:space="preserve">แม่ประนอม น้ำพริกเผา513กX2</t>
  </si>
  <si>
    <t xml:space="preserve">191753</t>
  </si>
  <si>
    <t xml:space="preserve">AROปลาทูน่าในน้ำเกลือ185กX4</t>
  </si>
  <si>
    <t xml:space="preserve">241755</t>
  </si>
  <si>
    <t xml:space="preserve">เอโร่ ซอสมะเขือเทศ 10กรัมx100ซอง</t>
  </si>
  <si>
    <t xml:space="preserve">265784</t>
  </si>
  <si>
    <t xml:space="preserve">เอโร่ ซอสมะเขือเทศ 10กรัมx800ซอง</t>
  </si>
  <si>
    <t xml:space="preserve">468182</t>
  </si>
  <si>
    <t xml:space="preserve">เซลารี่ (RPF) กก.ละ</t>
  </si>
  <si>
    <t xml:space="preserve">547560</t>
  </si>
  <si>
    <t xml:space="preserve">เนสกาแฟ เรด คัพ 420 ก.</t>
  </si>
  <si>
    <t xml:space="preserve">818279</t>
  </si>
  <si>
    <t xml:space="preserve">แครนเบอร์รี่แห้ง(เอโร่)1X1000ก.</t>
  </si>
  <si>
    <t xml:space="preserve">818286</t>
  </si>
  <si>
    <t xml:space="preserve">แมคคาดาเมียร์ ARO 1X500 กรัม</t>
  </si>
  <si>
    <t xml:space="preserve">818287</t>
  </si>
  <si>
    <t xml:space="preserve">วอลนัท (ตราเอโร่) 1X1000 กรัม</t>
  </si>
  <si>
    <t xml:space="preserve">819965</t>
  </si>
  <si>
    <t xml:space="preserve">อัลมอนด์ผง (ตราเอโร่) 1X500 กรัม</t>
  </si>
  <si>
    <t xml:space="preserve">830334</t>
  </si>
  <si>
    <t xml:space="preserve">งาดำ 500 กรัม</t>
  </si>
  <si>
    <t xml:space="preserve">830335</t>
  </si>
  <si>
    <t xml:space="preserve">งาขาว 500 กรัม</t>
  </si>
  <si>
    <t xml:space="preserve">831416</t>
  </si>
  <si>
    <t xml:space="preserve">CP ไข่แดงเค็มดิบ 25 ฟอง</t>
  </si>
  <si>
    <t xml:space="preserve">833762</t>
  </si>
  <si>
    <t xml:space="preserve">นูเทลล่า เฮเซลนัทสเปรด 3กก.X1</t>
  </si>
  <si>
    <t xml:space="preserve">851335</t>
  </si>
  <si>
    <t xml:space="preserve">เอโร่ข้าวโพดหวานแช่แข็ง 1กก</t>
  </si>
  <si>
    <t xml:space="preserve">852367</t>
  </si>
  <si>
    <t xml:space="preserve">คิวพี มายองเนสศรีราชา 900 ก.</t>
  </si>
  <si>
    <t xml:space="preserve">898808</t>
  </si>
  <si>
    <t xml:space="preserve">เอโร่ สาหร่ายตัดเส้น 100ก.X1</t>
  </si>
  <si>
    <t xml:space="preserve">903344</t>
  </si>
  <si>
    <t xml:space="preserve">น้ำผึ้งเวชพงศ์760ซีซี*1</t>
  </si>
  <si>
    <t xml:space="preserve">923317</t>
  </si>
  <si>
    <t xml:space="preserve">มะนาวเหลืองแพ็ค 4 ลูก</t>
  </si>
  <si>
    <t xml:space="preserve">928402</t>
  </si>
  <si>
    <t xml:space="preserve">น้ำตาลโดนัท 2 กก. X 1</t>
  </si>
  <si>
    <t xml:space="preserve">929798</t>
  </si>
  <si>
    <t xml:space="preserve">เอโร่ แซนวิชสเปรด1000 ก. X 1</t>
  </si>
  <si>
    <t xml:space="preserve">115101</t>
  </si>
  <si>
    <t xml:space="preserve">เอเวิร์ธ สวีสโรลมิลค์75กX48ชX2พX1</t>
  </si>
  <si>
    <t xml:space="preserve">Not countable - no master_uom entry</t>
  </si>
  <si>
    <t xml:space="preserve">EVIRTH (SHANGHAI) FOOD CO.,LTD.</t>
  </si>
  <si>
    <t xml:space="preserve">117679</t>
  </si>
  <si>
    <t xml:space="preserve">ทองหล่อ ช็อกโกแลตเรนโบว์ไรซ์1กกX1</t>
  </si>
  <si>
    <t xml:space="preserve">บ. ทองหล่อเอ็นเตอร์ไพรส์ จำกัด</t>
  </si>
  <si>
    <t xml:space="preserve">120131</t>
  </si>
  <si>
    <t xml:space="preserve">ไส้เผือก2กก.*5</t>
  </si>
  <si>
    <t xml:space="preserve">120136</t>
  </si>
  <si>
    <t xml:space="preserve">ไส้สังขยา2กก.*5</t>
  </si>
  <si>
    <t xml:space="preserve">120137</t>
  </si>
  <si>
    <t xml:space="preserve">ไส้ถั่วแดง2กก.*5</t>
  </si>
  <si>
    <t xml:space="preserve">125583</t>
  </si>
  <si>
    <t xml:space="preserve">อิมพีเรียล ครีมมี่คัสตาร์ดผง 750ก</t>
  </si>
  <si>
    <t xml:space="preserve">125787</t>
  </si>
  <si>
    <t xml:space="preserve">แฮมไก่ คลาสสิค1กก.X4</t>
  </si>
  <si>
    <t xml:space="preserve">128947</t>
  </si>
  <si>
    <t xml:space="preserve">RM_โดขนมปังหวานแช่แข็ง30กX225ชนX1</t>
  </si>
  <si>
    <t xml:space="preserve">N - not in data.json</t>
  </si>
  <si>
    <t xml:space="preserve">136820</t>
  </si>
  <si>
    <t xml:space="preserve">อิมพีเรียล น้ำตาลไอซิ่ง 800 ก.</t>
  </si>
  <si>
    <t xml:space="preserve">140308</t>
  </si>
  <si>
    <t xml:space="preserve">RM_กล่องฝาพับ(MAK11)140ชิ้น X 1</t>
  </si>
  <si>
    <t xml:space="preserve">141425</t>
  </si>
  <si>
    <t xml:space="preserve">กาลิคสเปรด1000*6</t>
  </si>
  <si>
    <t xml:space="preserve">150645</t>
  </si>
  <si>
    <t xml:space="preserve">เชอร์รี่เยลลี่ บอลสีแดง 55 ลูกX1</t>
  </si>
  <si>
    <t xml:space="preserve">บริษัท ดีลิคัพ จำกัด</t>
  </si>
  <si>
    <t xml:space="preserve">154796</t>
  </si>
  <si>
    <t xml:space="preserve">ถุงบีบซีลอัลตร้า18นิ้ว สีฟ้า</t>
  </si>
  <si>
    <t xml:space="preserve">161247</t>
  </si>
  <si>
    <t xml:space="preserve">ขนมเปี๊ยะทุเรียน 35ก.X120ชิ้น</t>
  </si>
  <si>
    <t xml:space="preserve">163372</t>
  </si>
  <si>
    <t xml:space="preserve">เดนิชชอคโกแลต(มือเสือ)43ก.*100</t>
  </si>
  <si>
    <t xml:space="preserve">183167</t>
  </si>
  <si>
    <t xml:space="preserve">ทิวลิป ผงโกโก้สีน้ำตาล 440ก. X 2</t>
  </si>
  <si>
    <t xml:space="preserve">183192</t>
  </si>
  <si>
    <t xml:space="preserve">RM_โดว์มัฟฟินช็อกโกแลต1กกx5ถx1</t>
  </si>
  <si>
    <t xml:space="preserve">บจ.เฟรนช์ เบเกอร์รี่ โซลูชั่น</t>
  </si>
  <si>
    <t xml:space="preserve">183443</t>
  </si>
  <si>
    <t xml:space="preserve">BF ฟิลลิ่งแอลซีสตรอเบอร์รี่ 900ก.</t>
  </si>
  <si>
    <t xml:space="preserve">183444</t>
  </si>
  <si>
    <t xml:space="preserve">BF ฟิลลิ่งวานิลลา 900ก.</t>
  </si>
  <si>
    <t xml:space="preserve">183452</t>
  </si>
  <si>
    <t xml:space="preserve">BF ฟิลลิ่งบลูเบอร์รี่ 900ก.</t>
  </si>
  <si>
    <t xml:space="preserve">183472</t>
  </si>
  <si>
    <t xml:space="preserve">BF ฟิลลิ่งคัสตาร์ดใบเตย 900ก.</t>
  </si>
  <si>
    <t xml:space="preserve">200667</t>
  </si>
  <si>
    <t xml:space="preserve">กระดาษรองอบ 40*60 ซม.</t>
  </si>
  <si>
    <t xml:space="preserve">บจก.ยูนิเวอร์แซล เทรส์</t>
  </si>
  <si>
    <t xml:space="preserve">200669</t>
  </si>
  <si>
    <t xml:space="preserve">กระดาษลอกลาย 30"*20"</t>
  </si>
  <si>
    <t xml:space="preserve">213860</t>
  </si>
  <si>
    <t xml:space="preserve">เอโร่เปลือกทาร์ตFZ18ชนX16</t>
  </si>
  <si>
    <t xml:space="preserve">225705</t>
  </si>
  <si>
    <t xml:space="preserve">RM_สายคาดสวิสมิลค์โรล 300 ชิ้น X1</t>
  </si>
  <si>
    <t xml:space="preserve">229362</t>
  </si>
  <si>
    <t xml:space="preserve">สติ๊กเกอร์อัลมอนด์ดีไลท์500 ช.x1</t>
  </si>
  <si>
    <t xml:space="preserve">271038</t>
  </si>
  <si>
    <t xml:space="preserve">RM_ถั่วกรอบแก้วแช่แข็ง1กก.x6ถุงx1</t>
  </si>
  <si>
    <t xml:space="preserve">278504</t>
  </si>
  <si>
    <t xml:space="preserve">RM_เค้กไข่ลูกเกด 25 ก.x54 ชิ้นx1</t>
  </si>
  <si>
    <t xml:space="preserve">บจ.โบว์เบเกอรี่เฮ้าส์</t>
  </si>
  <si>
    <t xml:space="preserve">297836</t>
  </si>
  <si>
    <t xml:space="preserve">RM_สติ๊กเกอร์วานิลาเครปเค้ก300ชX1</t>
  </si>
  <si>
    <t xml:space="preserve">298016</t>
  </si>
  <si>
    <t xml:space="preserve">ถาดฟอยล์(เซ็ตถาด,ฝา)6303-I 400ชน</t>
  </si>
  <si>
    <t xml:space="preserve">308634</t>
  </si>
  <si>
    <t xml:space="preserve">สติ๊กเกอร์สายคาดชิโอะปัง 500ชน.x1</t>
  </si>
  <si>
    <t xml:space="preserve">328980</t>
  </si>
  <si>
    <t xml:space="preserve">RM_ถุงขนมปังบริยอช 30 ชิ้น x 1</t>
  </si>
  <si>
    <t xml:space="preserve">บจ.ยูนิเวอร์ส แพ็ค</t>
  </si>
  <si>
    <t xml:space="preserve">332308</t>
  </si>
  <si>
    <t xml:space="preserve">กล่อง SNACK BOX 300 ใบ x 1</t>
  </si>
  <si>
    <t xml:space="preserve">334569</t>
  </si>
  <si>
    <t xml:space="preserve">RM_กล่องฝาพับ ใหญ่ 140ชิ้นX1</t>
  </si>
  <si>
    <t xml:space="preserve">361095</t>
  </si>
  <si>
    <t xml:space="preserve">RM_กล่องทาร์ต4ชิ้น(MAK13) 200ชx1</t>
  </si>
  <si>
    <t xml:space="preserve">366684</t>
  </si>
  <si>
    <t xml:space="preserve">RM_เฮอร์ชีส์เซมิสวีท285กx12พ</t>
  </si>
  <si>
    <t xml:space="preserve">374542</t>
  </si>
  <si>
    <t xml:space="preserve">RM_สติ๊กเกอร์คาราเมลเครป300ชx1</t>
  </si>
  <si>
    <t xml:space="preserve">377405</t>
  </si>
  <si>
    <t xml:space="preserve">RM_สายคาดทาร์ตไข่เค็ม200ชิ้นx1</t>
  </si>
  <si>
    <t xml:space="preserve">382068</t>
  </si>
  <si>
    <t xml:space="preserve">สติ๊กเกอร์กล้วยหอมนูเทลล่า1500ชน</t>
  </si>
  <si>
    <t xml:space="preserve">389459</t>
  </si>
  <si>
    <t xml:space="preserve">RM_โดว์มัฟฟินวนิลลา1กกx5ถx1</t>
  </si>
  <si>
    <t xml:space="preserve">390743</t>
  </si>
  <si>
    <t xml:space="preserve">RM_อะพิโตช็อกโกแลตอิมัลโก550ก.x1</t>
  </si>
  <si>
    <t xml:space="preserve">393237</t>
  </si>
  <si>
    <t xml:space="preserve">RM_สายคาดโรลรวมรส 300 ชิ้น x1</t>
  </si>
  <si>
    <t xml:space="preserve">603090</t>
  </si>
  <si>
    <t xml:space="preserve">เอเวิร์ธ สวีสโรลกาแฟ75กX48ชนX2พX1</t>
  </si>
  <si>
    <t xml:space="preserve">603747</t>
  </si>
  <si>
    <t xml:space="preserve">RM_กล่องพาย 4 ชิ้น PA01R 300ชุดX1</t>
  </si>
  <si>
    <t xml:space="preserve">633574</t>
  </si>
  <si>
    <t xml:space="preserve">RM_น้ำพริกเผาไทย 1 กก. x 1</t>
  </si>
  <si>
    <t xml:space="preserve">บจ.พิบูลย์ชัยน้ำพริกเผาไทยแม่ประนอม</t>
  </si>
  <si>
    <t xml:space="preserve">649807</t>
  </si>
  <si>
    <t xml:space="preserve">ถุงกระดาษคราฟสีขาว 300 ใบ x1</t>
  </si>
  <si>
    <t xml:space="preserve">650348</t>
  </si>
  <si>
    <t xml:space="preserve">RM_เชดด้าชีสชนิดเส้นสีส้ม 1กก.X6</t>
  </si>
  <si>
    <t xml:space="preserve">653692</t>
  </si>
  <si>
    <t xml:space="preserve">RM_บาสก์ชีสเค้ก 495ก.x6ชิ้นx1</t>
  </si>
  <si>
    <t xml:space="preserve">654896</t>
  </si>
  <si>
    <t xml:space="preserve">RM_โดขนมปังหวานแช่แข็ง 50กx120ชx1</t>
  </si>
  <si>
    <t xml:space="preserve">675077</t>
  </si>
  <si>
    <t xml:space="preserve">กระทงฟอยล์ F-3330 3000 ชิ้น X1</t>
  </si>
  <si>
    <t xml:space="preserve">688547</t>
  </si>
  <si>
    <t xml:space="preserve">โดว์ชิโอะปังแช่แข็ง65ก.x72ชิ้นX1</t>
  </si>
  <si>
    <t xml:space="preserve">689511</t>
  </si>
  <si>
    <t xml:space="preserve">RM_กล่องเครปเค้ก 3ชิ้น 500ชุดX1</t>
  </si>
  <si>
    <t xml:space="preserve">697228</t>
  </si>
  <si>
    <t xml:space="preserve">บุชเชอร์ รอยเชอร์เวิร์สท 1000ก.X1</t>
  </si>
  <si>
    <t xml:space="preserve">699034</t>
  </si>
  <si>
    <t xml:space="preserve">RM_วิปปิ้งครีม 950 มล.X6ชิ้นX1</t>
  </si>
  <si>
    <t xml:space="preserve">709101</t>
  </si>
  <si>
    <t xml:space="preserve">RM_กล่องกลาง  PT1H2A 200 ชุด X 1</t>
  </si>
  <si>
    <t xml:space="preserve">719946</t>
  </si>
  <si>
    <t xml:space="preserve">RM_ถาดฟอยล์4428Pสีเงิน 200 ชิ้นX1</t>
  </si>
  <si>
    <t xml:space="preserve">726624</t>
  </si>
  <si>
    <t xml:space="preserve">ถาดฟอยล์4575-I(เซ็ตถาด,ฝา)200ชนx1</t>
  </si>
  <si>
    <t xml:space="preserve">738544</t>
  </si>
  <si>
    <t xml:space="preserve">RM_กล่องบาร์สเบิร์นMAK08 120ชุดX1</t>
  </si>
  <si>
    <t xml:space="preserve">751608</t>
  </si>
  <si>
    <t xml:space="preserve">สติ๊กเกอร์บลูเบอรี่ชีส1500ช.X1</t>
  </si>
  <si>
    <t xml:space="preserve">757837</t>
  </si>
  <si>
    <t xml:space="preserve">สายคาดหมูหยองคัสตาร์ดไข่เค็ม500ช</t>
  </si>
  <si>
    <t xml:space="preserve">765546</t>
  </si>
  <si>
    <t xml:space="preserve">สายคาดขนมปังใบเตยมะพร้าว 500 ชX 1</t>
  </si>
  <si>
    <t xml:space="preserve">779593</t>
  </si>
  <si>
    <t xml:space="preserve">RM_สติ๊กเกอร์ปังไส้กรอก 300 ชิ้น</t>
  </si>
  <si>
    <t xml:space="preserve">792831</t>
  </si>
  <si>
    <t xml:space="preserve">RM_สายคาดสวิสคอฟฟี่โรล 300ชิ้นX1</t>
  </si>
  <si>
    <t xml:space="preserve">817220</t>
  </si>
  <si>
    <t xml:space="preserve">โดนัทวงแหวนแช่แข็ง40กX80</t>
  </si>
  <si>
    <t xml:space="preserve">817221</t>
  </si>
  <si>
    <t xml:space="preserve">โดนัทเกลียวแช่แข็ง40กX90</t>
  </si>
  <si>
    <t xml:space="preserve">821642</t>
  </si>
  <si>
    <t xml:space="preserve">ดาร์คช็อคคูเวอเจอร์ 57.7% 2.5 กก.</t>
  </si>
  <si>
    <t xml:space="preserve">823075</t>
  </si>
  <si>
    <t xml:space="preserve">เค้กโรลรวมรส 30กรัมX42</t>
  </si>
  <si>
    <t xml:space="preserve">825296</t>
  </si>
  <si>
    <t xml:space="preserve">แฟนซีคาร์ฟ แบะแซกลูโคสไซรัป 1 กก.</t>
  </si>
  <si>
    <t xml:space="preserve">บจ.เจริญวรกิจ</t>
  </si>
  <si>
    <t xml:space="preserve">844642</t>
  </si>
  <si>
    <t xml:space="preserve">สมอลเซียบัตต้า(ขนมปัง)40กX108ชิ้น</t>
  </si>
  <si>
    <t xml:space="preserve">844643</t>
  </si>
  <si>
    <t xml:space="preserve">สมอลฟาร์มเมอร์โรล40กX120ชิ้น</t>
  </si>
  <si>
    <t xml:space="preserve">844644</t>
  </si>
  <si>
    <t xml:space="preserve">ขนมปังฝรั่งเศสขนาดเล็ก40กX120ชิ้น</t>
  </si>
  <si>
    <t xml:space="preserve">844645</t>
  </si>
  <si>
    <t xml:space="preserve">มัลติเกรนเบรดขนมปังธัญพืช350กX12ช</t>
  </si>
  <si>
    <t xml:space="preserve">844646</t>
  </si>
  <si>
    <t xml:space="preserve">เซียบัตต้าแซนด์วิช110กX40ชิ้น</t>
  </si>
  <si>
    <t xml:space="preserve">844776</t>
  </si>
  <si>
    <t xml:space="preserve">ขนมปังหวาน40กรัมX144ชิ้น</t>
  </si>
  <si>
    <t xml:space="preserve">860323</t>
  </si>
  <si>
    <t xml:space="preserve">ขนมปังสังขยา 80ก 12 ชิ้น X 6 ถุง</t>
  </si>
  <si>
    <t xml:space="preserve">860325</t>
  </si>
  <si>
    <t xml:space="preserve">ขนมปังเบคอนผักโขม 60ก 12ช X 6ถุง</t>
  </si>
  <si>
    <t xml:space="preserve">860326</t>
  </si>
  <si>
    <t xml:space="preserve">ขนมปังหวานแช่แข็ง 60กรัม X 90ชิ้น</t>
  </si>
  <si>
    <t xml:space="preserve">860328</t>
  </si>
  <si>
    <t xml:space="preserve">โดจ์พายสังขยามะพร้าวอ่อน 85กX40ชน</t>
  </si>
  <si>
    <t xml:space="preserve">868629</t>
  </si>
  <si>
    <t xml:space="preserve">กระทงฟอยส์สีเงิน 500 X 6 แพ็ค</t>
  </si>
  <si>
    <t xml:space="preserve">868630</t>
  </si>
  <si>
    <t xml:space="preserve">ไส้กรอกไก่หนังกรอบBKP1000กX1</t>
  </si>
  <si>
    <t xml:space="preserve">875862</t>
  </si>
  <si>
    <t xml:space="preserve">RM_กล่องเค้กโรล 8 ชิ้น 200ชุดX1</t>
  </si>
  <si>
    <t xml:space="preserve">880861</t>
  </si>
  <si>
    <t xml:space="preserve">โดนัทกลมแช่แข็ง 30 ก.X180ชิ้นX1</t>
  </si>
  <si>
    <t xml:space="preserve">891374</t>
  </si>
  <si>
    <t xml:space="preserve">เดนิชเบรดช็อคโกแลตFZ360ก 10ชX2ถุง</t>
  </si>
  <si>
    <t xml:space="preserve">893883</t>
  </si>
  <si>
    <t xml:space="preserve">ครัวซองต์เนยสดแช่แข็ง70กX60ช</t>
  </si>
  <si>
    <t xml:space="preserve">896681</t>
  </si>
  <si>
    <t xml:space="preserve">ถาดฟอยล์#3416-P(รวมตัว+ฝา)1X200ชน</t>
  </si>
  <si>
    <t xml:space="preserve">900823</t>
  </si>
  <si>
    <t xml:space="preserve">เทรดดิชั่นนอลเฟรนช์บาแก็ต 280กX30</t>
  </si>
  <si>
    <t xml:space="preserve">บจก.เอ็มเจพี ฟู้ด</t>
  </si>
  <si>
    <t xml:space="preserve">900825</t>
  </si>
  <si>
    <t xml:space="preserve">ซาวโดวจ์ มัลติเกรน เบรด 340 กX 30</t>
  </si>
  <si>
    <t xml:space="preserve">900831</t>
  </si>
  <si>
    <t xml:space="preserve">เพน ทาดิชั่น 340กX 30</t>
  </si>
  <si>
    <t xml:space="preserve">905775</t>
  </si>
  <si>
    <t xml:space="preserve">แผ่นOPPรองถาดขนม400X450มม.1000ใบ</t>
  </si>
  <si>
    <t xml:space="preserve">905783</t>
  </si>
  <si>
    <t xml:space="preserve">แผ่นครัวซองต์สี่เหลี่ยมFZ1000กX10</t>
  </si>
  <si>
    <t xml:space="preserve">905797</t>
  </si>
  <si>
    <t xml:space="preserve">เลอแกลเนยแล็คติกชนิดจืด 10กกX1</t>
  </si>
  <si>
    <t xml:space="preserve">905802</t>
  </si>
  <si>
    <t xml:space="preserve">อลาวรี่มิกซ์โฟรชีส 1 กกX6</t>
  </si>
  <si>
    <t xml:space="preserve">911980</t>
  </si>
  <si>
    <t xml:space="preserve">เดนิชไส้กรอกมือเสือแช่แข็ง48*75</t>
  </si>
  <si>
    <t xml:space="preserve">912758</t>
  </si>
  <si>
    <t xml:space="preserve">แผ่นครัวซองตเนยสดแช่แข็ง10X20นิ้ว</t>
  </si>
  <si>
    <t xml:space="preserve">915055</t>
  </si>
  <si>
    <t xml:space="preserve">ลาฟรุ้ตต้าบลูเบอร์รี 6กก.X1</t>
  </si>
  <si>
    <t xml:space="preserve">916269</t>
  </si>
  <si>
    <t xml:space="preserve">โคลเจลลี่ 7 กิโลกรัม</t>
  </si>
  <si>
    <t xml:space="preserve">916924</t>
  </si>
  <si>
    <t xml:space="preserve">ถุงกระดาษคราฟสีน้ำตาล 6X50PCS</t>
  </si>
  <si>
    <t xml:space="preserve">บจก.โกลบอล มาร์เก็ตติ้ง</t>
  </si>
  <si>
    <t xml:space="preserve">918747</t>
  </si>
  <si>
    <t xml:space="preserve">ฮอกไกโดมิลค์ฟิลลิ่ง 1 กกX10ถุง</t>
  </si>
  <si>
    <t xml:space="preserve">918748</t>
  </si>
  <si>
    <t xml:space="preserve">โดจ์ครัวซองต์เนยสดแช่แข็ง20กX200ช</t>
  </si>
  <si>
    <t xml:space="preserve">919754</t>
  </si>
  <si>
    <t xml:space="preserve">หมูหยองเบเกอรี่(หมูไก่) 1กก.x5</t>
  </si>
  <si>
    <t xml:space="preserve">920292</t>
  </si>
  <si>
    <t xml:space="preserve">แผ่นแป้งสามเหลี่ยม FZ 30 กX240ช</t>
  </si>
  <si>
    <t xml:space="preserve">921129</t>
  </si>
  <si>
    <t xml:space="preserve">กล่องขนมปัง 4 ชิ้น 100 X1</t>
  </si>
  <si>
    <t xml:space="preserve">922115</t>
  </si>
  <si>
    <t xml:space="preserve">เชดด้าชีส81สไลซ์Naked 1กกX1แพ็ค</t>
  </si>
  <si>
    <t xml:space="preserve">922117</t>
  </si>
  <si>
    <t xml:space="preserve">โดจ์ครัวซองต์เนยสดแช่แข็ง50กX100ช</t>
  </si>
  <si>
    <t xml:space="preserve">922252</t>
  </si>
  <si>
    <t xml:space="preserve">ถาด6ช่องเล็ก PS ดำ+ฝาPET250PCS X1</t>
  </si>
  <si>
    <t xml:space="preserve">922289</t>
  </si>
  <si>
    <t xml:space="preserve">ถุงIPP ARO GOLD 5.5"x14.5"x1000x1</t>
  </si>
  <si>
    <t xml:space="preserve">923479</t>
  </si>
  <si>
    <t xml:space="preserve">ถั่วแดงกวนบดหยาบสำหรับโอฮากิ1x10</t>
  </si>
  <si>
    <t xml:space="preserve">บจ.ซันฟลาว โทกาจิ ฟู๊ด อินเตอร์เนชั่นแนล</t>
  </si>
  <si>
    <t xml:space="preserve">923480</t>
  </si>
  <si>
    <t xml:space="preserve">ไส้ขนมรสวนิลา x 10</t>
  </si>
  <si>
    <t xml:space="preserve">บจ.คราวน์ มาสเตอร์</t>
  </si>
  <si>
    <t xml:space="preserve">923688</t>
  </si>
  <si>
    <t xml:space="preserve">ขนมปังโฮลวีทแช่แข็ง 720กX 15</t>
  </si>
  <si>
    <t xml:space="preserve">923689</t>
  </si>
  <si>
    <t xml:space="preserve">ขนมปังซาวโดว์ดาร์กไรย์ 340กX 30</t>
  </si>
  <si>
    <t xml:space="preserve">923690</t>
  </si>
  <si>
    <t xml:space="preserve">ขนมปังเซียบัตต้า 110กX 60</t>
  </si>
  <si>
    <t xml:space="preserve">923691</t>
  </si>
  <si>
    <t xml:space="preserve">ขนมปังวอลนัทแช่แข็ง 330กX 30</t>
  </si>
  <si>
    <t xml:space="preserve">923745</t>
  </si>
  <si>
    <t xml:space="preserve">ARO เนื้อปูเทียม 1กกx10</t>
  </si>
  <si>
    <t xml:space="preserve">บจ.สมายล์ ฮาร์ท ฟู้ดส์</t>
  </si>
  <si>
    <t xml:space="preserve">923858</t>
  </si>
  <si>
    <t xml:space="preserve">สีผสมอาหารเบสโอเดอแดงสตรอ450มล</t>
  </si>
  <si>
    <t xml:space="preserve">923859</t>
  </si>
  <si>
    <t xml:space="preserve">สีเหลืองไข่ เบสท์โอเดอร์ 450มล</t>
  </si>
  <si>
    <t xml:space="preserve">923860</t>
  </si>
  <si>
    <t xml:space="preserve">สีเขียวแก่ เบสท์โอเดอร์ 450มล</t>
  </si>
  <si>
    <t xml:space="preserve">923861</t>
  </si>
  <si>
    <t xml:space="preserve">สีม่วงเบสท์โอเดอร์ 450 มล.</t>
  </si>
  <si>
    <t xml:space="preserve">923863</t>
  </si>
  <si>
    <t xml:space="preserve">กลิ่นมะลิ เบสท์โอเดอร์ 450 มล.</t>
  </si>
  <si>
    <t xml:space="preserve">923864</t>
  </si>
  <si>
    <t xml:space="preserve">กล่องใหญ่พรีเมียม X 50 ใบ</t>
  </si>
  <si>
    <t xml:space="preserve">924802</t>
  </si>
  <si>
    <t xml:space="preserve">ซอสมะเขือเทศเอโร่ 1กก.x12</t>
  </si>
  <si>
    <t xml:space="preserve">บจ.วินแชนซ์ ฟู้ดส์</t>
  </si>
  <si>
    <t xml:space="preserve">924803</t>
  </si>
  <si>
    <t xml:space="preserve">สีส้ม เบสท์โอเตอร์ 450มล</t>
  </si>
  <si>
    <t xml:space="preserve">925510</t>
  </si>
  <si>
    <t xml:space="preserve">มินิเค้กช็อกโกแลต 15 กx 45ช x1</t>
  </si>
  <si>
    <t xml:space="preserve">บจก.คาร่าเบเกอรี่</t>
  </si>
  <si>
    <t xml:space="preserve">925511</t>
  </si>
  <si>
    <t xml:space="preserve">มินิเค้กรสวานิลลา 15 ก X 45ช x1</t>
  </si>
  <si>
    <t xml:space="preserve">925513</t>
  </si>
  <si>
    <t xml:space="preserve">ช็อกโกแลตเฮเซลนัทฟิลลิ่ง1กกx10x1</t>
  </si>
  <si>
    <t xml:space="preserve">925515</t>
  </si>
  <si>
    <t xml:space="preserve">สติ๊กเกอร์ AROสายคาดแดง3000ชน X1</t>
  </si>
  <si>
    <t xml:space="preserve">927095</t>
  </si>
  <si>
    <t xml:space="preserve">ปูอัดเส้นแช่แข็ง 1 กก.X 10ถุง X 1</t>
  </si>
  <si>
    <t xml:space="preserve">927098</t>
  </si>
  <si>
    <t xml:space="preserve">สติ๊กเกอร์ครัวซองต์3000ช X 1</t>
  </si>
  <si>
    <t xml:space="preserve">927368</t>
  </si>
  <si>
    <t xml:space="preserve">โอวาเล็ต 5 กก. X1</t>
  </si>
  <si>
    <t xml:space="preserve">927369</t>
  </si>
  <si>
    <t xml:space="preserve">กล่องมัฟฟิ่น  MAK92 150 ชุด X 1</t>
  </si>
  <si>
    <t xml:space="preserve">927370</t>
  </si>
  <si>
    <t xml:space="preserve">กล่องเบเกอรี่  MAK54 200 ชุด X 1</t>
  </si>
  <si>
    <t xml:space="preserve">928469</t>
  </si>
  <si>
    <t xml:space="preserve">กล่องเค้กโรล  PT1H2C 150 ชุด X 1</t>
  </si>
  <si>
    <t xml:space="preserve">928471</t>
  </si>
  <si>
    <t xml:space="preserve">โดซองต์แช่แข็ง 25 ก. X120 ชิ้น X1</t>
  </si>
  <si>
    <t xml:space="preserve">929671</t>
  </si>
  <si>
    <t xml:space="preserve">เดนิชไส้กรอกไก่แช่แข็ง130กX40ชX1</t>
  </si>
  <si>
    <t xml:space="preserve">930789</t>
  </si>
  <si>
    <t xml:space="preserve">กระดาษตัด 16X10 cm 500แผ่น X6แพ็ค</t>
  </si>
  <si>
    <t xml:space="preserve">932630</t>
  </si>
  <si>
    <t xml:space="preserve">สติ๊กเกอร์เค้กกล้วยหอม1500ช.X1</t>
  </si>
  <si>
    <t xml:space="preserve">933174</t>
  </si>
  <si>
    <t xml:space="preserve">ขนมปังฟอคคาเชียมะกอกดำ 100กX30ชX1</t>
  </si>
  <si>
    <t xml:space="preserve">933175</t>
  </si>
  <si>
    <t xml:space="preserve">ขนมปังฟอคคาเชีย 100 กX30 ชิ้นX 1</t>
  </si>
  <si>
    <t xml:space="preserve">933176</t>
  </si>
  <si>
    <t xml:space="preserve">ขนมปังดาร์กไรย์มอลต์ 300 กX30ชX1</t>
  </si>
  <si>
    <t xml:space="preserve">933177</t>
  </si>
  <si>
    <t xml:space="preserve">ขนมปังธัญพืช 300 ก.X30ช.X1</t>
  </si>
  <si>
    <t xml:space="preserve">933178</t>
  </si>
  <si>
    <t xml:space="preserve">พายผีเสื้อเนยสดเเช่เเข็ง60กX80ชX1</t>
  </si>
  <si>
    <t xml:space="preserve">933179</t>
  </si>
  <si>
    <t xml:space="preserve">แดรีโกลด์พาร์มีซานชีสชนิดผง500กX1</t>
  </si>
  <si>
    <t xml:space="preserve">942238</t>
  </si>
  <si>
    <t xml:space="preserve">RM_ขนมปังบริยอชแช่แข็ง135ก.x24ชx1</t>
  </si>
  <si>
    <t xml:space="preserve">957820</t>
  </si>
  <si>
    <t xml:space="preserve">หมูหยองหมูผสมไก่ตราเจ้าสัว1000ก.</t>
  </si>
  <si>
    <t xml:space="preserve">บมจ.เจ้าสัว ฟู้ดส์ อินดัสทรี</t>
  </si>
  <si>
    <t xml:space="preserve">973469</t>
  </si>
  <si>
    <t xml:space="preserve">RM_โดขนมปังหวานแช่แข็ง60กX100ชนX1</t>
  </si>
  <si>
    <t xml:space="preserve">Countable items with NO price in the Code 206 documents</t>
  </si>
  <si>
    <t xml:space="preserve">On the count screen but no confirmed price. Decision needed: priced elsewhere, or store-retail-cost category?</t>
  </si>
  <si>
    <t xml:space="preserve">packtype</t>
  </si>
  <si>
    <t xml:space="preserve">Current Cost IN VAT</t>
  </si>
  <si>
    <t xml:space="preserve">102136</t>
  </si>
  <si>
    <t xml:space="preserve">AROเม็ดมะม่วงหิมพานต์ซีก 800 กรัม</t>
  </si>
  <si>
    <t xml:space="preserve">833</t>
  </si>
  <si>
    <t xml:space="preserve">104517</t>
  </si>
  <si>
    <t xml:space="preserve">ฟอลคอน นมข้นจืด 375ก.X6กป</t>
  </si>
  <si>
    <t xml:space="preserve">318</t>
  </si>
  <si>
    <t xml:space="preserve">117474</t>
  </si>
  <si>
    <t xml:space="preserve">เอโร่ ซอสมะเขือเทศ 1000กx1</t>
  </si>
  <si>
    <t xml:space="preserve">732</t>
  </si>
  <si>
    <t xml:space="preserve">117819</t>
  </si>
  <si>
    <t xml:space="preserve">มินิครัวซองต์15กรัมX10</t>
  </si>
  <si>
    <t xml:space="preserve">78</t>
  </si>
  <si>
    <t xml:space="preserve">118069</t>
  </si>
  <si>
    <t xml:space="preserve">ฟอลคอน นมข้นจืด 1000มล.X1กล</t>
  </si>
  <si>
    <t xml:space="preserve">124406</t>
  </si>
  <si>
    <t xml:space="preserve">เอโร่ผักรวมแช่แข็ง 1กกx10</t>
  </si>
  <si>
    <t xml:space="preserve">747</t>
  </si>
  <si>
    <t xml:space="preserve">134440</t>
  </si>
  <si>
    <t xml:space="preserve">เซพแพ็ค แซนวิชสเปรด 1 กก.</t>
  </si>
  <si>
    <t xml:space="preserve">306</t>
  </si>
  <si>
    <t xml:space="preserve">154817</t>
  </si>
  <si>
    <t xml:space="preserve">GOLDKORMIX  MIX 1*10KG.</t>
  </si>
  <si>
    <t xml:space="preserve">68</t>
  </si>
  <si>
    <t xml:space="preserve">154821</t>
  </si>
  <si>
    <t xml:space="preserve">COMBICORN BREADMIX  1*10KG.</t>
  </si>
  <si>
    <t xml:space="preserve">155543</t>
  </si>
  <si>
    <t xml:space="preserve">โอวีเทค 20กก.*1</t>
  </si>
  <si>
    <t xml:space="preserve">162727</t>
  </si>
  <si>
    <t xml:space="preserve">163806</t>
  </si>
  <si>
    <t xml:space="preserve">มินิครัวซองต์ไส้กรอกหมูชีส40กX4ช</t>
  </si>
  <si>
    <t xml:space="preserve">163882</t>
  </si>
  <si>
    <t xml:space="preserve">มินิครัวซองต์แฮมชีส 30 ก X 4 ชิ้น</t>
  </si>
  <si>
    <t xml:space="preserve">164221</t>
  </si>
  <si>
    <t xml:space="preserve">AROมอสซาเรลล่าขูดเส้นแช่แข็ง1กก*1</t>
  </si>
  <si>
    <t xml:space="preserve">753</t>
  </si>
  <si>
    <t xml:space="preserve">185907</t>
  </si>
  <si>
    <t xml:space="preserve">งาขาว ตราARO  500กรัมX6</t>
  </si>
  <si>
    <t xml:space="preserve">829</t>
  </si>
  <si>
    <t xml:space="preserve">185923</t>
  </si>
  <si>
    <t xml:space="preserve">งาดำ ตราARO 500กX6</t>
  </si>
  <si>
    <t xml:space="preserve">194079</t>
  </si>
  <si>
    <t xml:space="preserve">ผักสลัดกรีนโอ๊ค (ไฮโดรฯ) แพค500ก.</t>
  </si>
  <si>
    <t xml:space="preserve">718</t>
  </si>
  <si>
    <t xml:space="preserve">199898</t>
  </si>
  <si>
    <t xml:space="preserve">ครัวซองต์เนยสด 43 กรัมX4</t>
  </si>
  <si>
    <t xml:space="preserve">204428</t>
  </si>
  <si>
    <t xml:space="preserve">แป้งโฮลวีตมิกซ์ตราปังทอง22.5กก.*1</t>
  </si>
  <si>
    <t xml:space="preserve">229666</t>
  </si>
  <si>
    <t xml:space="preserve">เอโร่ ข้าวโอ๊ต 1 กก.x1</t>
  </si>
  <si>
    <t xml:space="preserve">81</t>
  </si>
  <si>
    <t xml:space="preserve">230759</t>
  </si>
  <si>
    <t xml:space="preserve">เชื้อเข้มข้นกลิ่นส้ม 1กก.</t>
  </si>
  <si>
    <t xml:space="preserve">230762</t>
  </si>
  <si>
    <t xml:space="preserve">แป้งขนมปังมันฝรั่ง1*10กก.</t>
  </si>
  <si>
    <t xml:space="preserve">230763</t>
  </si>
  <si>
    <t xml:space="preserve">เชื้อเข้มข้นกลิ่นสตรอเบอรี่1กก.</t>
  </si>
  <si>
    <t xml:space="preserve">230807</t>
  </si>
  <si>
    <t xml:space="preserve">INTER_แป้งสำเร็จรูปชิฟฟ่อน 15กก*1</t>
  </si>
  <si>
    <t xml:space="preserve">230811</t>
  </si>
  <si>
    <t xml:space="preserve">ผงสำเร็จคัสตาร์ด1*10กก.</t>
  </si>
  <si>
    <t xml:space="preserve">30069</t>
  </si>
  <si>
    <t xml:space="preserve">AROมาร์การีน(เนยเหลือง) 15KG.*1</t>
  </si>
  <si>
    <t xml:space="preserve">324363</t>
  </si>
  <si>
    <t xml:space="preserve">มะเขือเทศท้อ กก. ละ</t>
  </si>
  <si>
    <t xml:space="preserve">725</t>
  </si>
  <si>
    <t xml:space="preserve">339049</t>
  </si>
  <si>
    <t xml:space="preserve">RM_กล่องฝาพับเรียบ 400 ชิ้น x 1</t>
  </si>
  <si>
    <t xml:space="preserve">714082</t>
  </si>
  <si>
    <t xml:space="preserve">RM_สกิปปีพีนัทบัตเตอร์ 1กก.x6ชนx1</t>
  </si>
  <si>
    <t xml:space="preserve">785124</t>
  </si>
  <si>
    <t xml:space="preserve">RM_สติ๊กเกอร์ครัวซองต์พีนัต300ช</t>
  </si>
  <si>
    <t xml:space="preserve">802109</t>
  </si>
  <si>
    <t xml:space="preserve">ถุงครัวซองต์1X1000 ใบ</t>
  </si>
  <si>
    <t xml:space="preserve">803955</t>
  </si>
  <si>
    <t xml:space="preserve">อัลมอนด์สไลซ์ 11.34 กกX1</t>
  </si>
  <si>
    <t xml:space="preserve">834</t>
  </si>
  <si>
    <t xml:space="preserve">846983</t>
  </si>
  <si>
    <t xml:space="preserve">ARO ปูอัดแช่แข็ง 1000ก.X1</t>
  </si>
  <si>
    <t xml:space="preserve">752</t>
  </si>
  <si>
    <t xml:space="preserve">849422</t>
  </si>
  <si>
    <t xml:space="preserve">นิปปุ่นซอฟเบรคมิกซ์25กกX1กระสอบ</t>
  </si>
  <si>
    <t xml:space="preserve">859219</t>
  </si>
  <si>
    <t xml:space="preserve">โมจิเบรดมิกซ์ 25 กก. X 1 กระสอบ</t>
  </si>
  <si>
    <t xml:space="preserve">860308</t>
  </si>
  <si>
    <t xml:space="preserve">โคฟเวอร์ลิคออเร้นจ์โค้ตติ้ง1กกX10</t>
  </si>
  <si>
    <t xml:space="preserve">860309</t>
  </si>
  <si>
    <t xml:space="preserve">โคฟเวอร์สตอร์เบอรี่โค้ตติ้ง1กกX10</t>
  </si>
  <si>
    <t xml:space="preserve">860311</t>
  </si>
  <si>
    <t xml:space="preserve">โคฟเวอร์ลักซ์ไวท์1 กก X 10</t>
  </si>
  <si>
    <t xml:space="preserve">860357</t>
  </si>
  <si>
    <t xml:space="preserve">เดนิชม้วน (โดแช่แข็ง)50กX120ชิ้น</t>
  </si>
  <si>
    <t xml:space="preserve">867171</t>
  </si>
  <si>
    <t xml:space="preserve">ถุงกระดาษน้ำตาล 1000 ชิ้น</t>
  </si>
  <si>
    <t xml:space="preserve">919758</t>
  </si>
  <si>
    <t xml:space="preserve">กล่องพาย 4 ชิ้น 100 ชิ้นx1</t>
  </si>
  <si>
    <t xml:space="preserve">970469</t>
  </si>
  <si>
    <t xml:space="preserve">RM_ ขนมปังหวานแช่แข็ง 30กx225ชx1</t>
  </si>
  <si>
    <t xml:space="preserve">Codes appearing in BOTH source files with DIFFERENT prices</t>
  </si>
  <si>
    <t xml:space="preserve">The Loose file applies only to stores 2/17/57. The app holds ONE global price per item. All-stores price used as default — confirm with Phat.</t>
  </si>
  <si>
    <t xml:space="preserve">All-stores EX VAT</t>
  </si>
  <si>
    <t xml:space="preserve">Loose (2/17/57) EX VAT</t>
  </si>
  <si>
    <t xml:space="preserve">Used in template</t>
  </si>
  <si>
    <t xml:space="preserve">Note</t>
  </si>
  <si>
    <t xml:space="preserve">Genuine price difference between the two documents</t>
  </si>
  <si>
    <t xml:space="preserve">Loose file says store retail cost; all-stores file has a confirmed price</t>
  </si>
  <si>
    <t xml:space="preserve">Codes present in both files (any price): 26 — of which 5 differ.</t>
  </si>
  <si>
    <t xml:space="preserve">Import summary — expected preview/confirm figures</t>
  </si>
  <si>
    <t xml:space="preserve">Formulas over PriceImport so counts stay true if rows are edited.</t>
  </si>
  <si>
    <t xml:space="preserve">Total rows in template</t>
  </si>
  <si>
    <t xml:space="preserve">Countable (appear on count screen)</t>
  </si>
  <si>
    <t xml:space="preserve">Status: CHANGED</t>
  </si>
  <si>
    <t xml:space="preserve">Status: Unchanged</t>
  </si>
  <si>
    <t xml:space="preserve">Status: NEW (no existing cost record)</t>
  </si>
  <si>
    <t xml:space="preserve">Status: NO PRICE (store retail cost rule)</t>
  </si>
  <si>
    <t xml:space="preserve">Status: Not countable</t>
  </si>
  <si>
    <t xml:space="preserve">Not in data.json item master</t>
  </si>
  <si>
    <t xml:space="preserve">Rows with |delta| &gt; 20% (review)</t>
  </si>
  <si>
    <t xml:space="preserve">Countable items with NO price in source</t>
  </si>
  <si>
    <t xml:space="preserve">Cross-file price conflicts</t>
  </si>
  <si>
    <t xml:space="preserve">Source: Code 206 Bakery, 1-31 Aug 2026. Basis EX VAT.</t>
  </si>
  <si>
    <t xml:space="preserve">Estimated cost only — not an official value.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</si>
</sst>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0.0%;\(0.0%\);\-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4"/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4"/>
      <c r="B11" s="3" t="s">
        <v>16</v>
      </c>
    </row>
    <row r="12" customFormat="false" ht="15" hidden="false" customHeight="false" outlineLevel="0" collapsed="false">
      <c r="A12" s="4"/>
      <c r="B12" s="3"/>
    </row>
    <row r="13" customFormat="false" ht="15" hidden="false" customHeight="false" outlineLevel="0" collapsed="false">
      <c r="A13" s="5" t="s">
        <v>17</v>
      </c>
      <c r="B13" s="6" t="s">
        <v>18</v>
      </c>
    </row>
    <row r="14" customFormat="false" ht="15" hidden="false" customHeight="false" outlineLevel="0" collapsed="false">
      <c r="A14" s="4"/>
      <c r="B14" s="3" t="s">
        <v>19</v>
      </c>
    </row>
    <row r="15" customFormat="false" ht="15" hidden="false" customHeight="false" outlineLevel="0" collapsed="false">
      <c r="A15" s="4"/>
      <c r="B15" s="3" t="s">
        <v>20</v>
      </c>
    </row>
    <row r="16" customFormat="false" ht="15" hidden="false" customHeight="false" outlineLevel="0" collapsed="false">
      <c r="A16" s="4"/>
      <c r="B16" s="3" t="s">
        <v>21</v>
      </c>
    </row>
    <row r="17" customFormat="false" ht="15" hidden="false" customHeight="false" outlineLevel="0" collapsed="false">
      <c r="A17" s="4"/>
      <c r="B17" s="3"/>
    </row>
    <row r="18" customFormat="false" ht="15" hidden="false" customHeight="false" outlineLevel="0" collapsed="false">
      <c r="A18" s="5" t="s">
        <v>22</v>
      </c>
      <c r="B18" s="6" t="s">
        <v>23</v>
      </c>
    </row>
    <row r="19" customFormat="false" ht="15" hidden="false" customHeight="false" outlineLevel="0" collapsed="false">
      <c r="A19" s="4"/>
      <c r="B19" s="3" t="s">
        <v>24</v>
      </c>
    </row>
    <row r="20" customFormat="false" ht="15" hidden="false" customHeight="false" outlineLevel="0" collapsed="false">
      <c r="A20" s="4"/>
      <c r="B20" s="3" t="s">
        <v>25</v>
      </c>
    </row>
    <row r="21" customFormat="false" ht="15" hidden="false" customHeight="false" outlineLevel="0" collapsed="false">
      <c r="A21" s="4"/>
      <c r="B21" s="3"/>
    </row>
    <row r="22" customFormat="false" ht="15" hidden="false" customHeight="false" outlineLevel="0" collapsed="false">
      <c r="A22" s="2" t="s">
        <v>26</v>
      </c>
      <c r="B22" s="3" t="s">
        <v>27</v>
      </c>
    </row>
    <row r="23" customFormat="false" ht="15" hidden="false" customHeight="false" outlineLevel="0" collapsed="false">
      <c r="A23" s="4"/>
      <c r="B23" s="3" t="s">
        <v>28</v>
      </c>
    </row>
    <row r="24" customFormat="false" ht="15" hidden="false" customHeight="false" outlineLevel="0" collapsed="false">
      <c r="A24" s="4"/>
      <c r="B24" s="3"/>
    </row>
    <row r="25" customFormat="false" ht="15" hidden="false" customHeight="false" outlineLevel="0" collapsed="false">
      <c r="A25" s="2" t="s">
        <v>29</v>
      </c>
      <c r="B25" s="3" t="s">
        <v>30</v>
      </c>
    </row>
    <row r="26" customFormat="false" ht="15" hidden="false" customHeight="false" outlineLevel="0" collapsed="false">
      <c r="A26" s="4"/>
      <c r="B26" s="3" t="s">
        <v>31</v>
      </c>
    </row>
    <row r="27" customFormat="false" ht="15" hidden="false" customHeight="false" outlineLevel="0" collapsed="false">
      <c r="A27" s="2" t="s">
        <v>32</v>
      </c>
      <c r="B27" s="3" t="s">
        <v>33</v>
      </c>
    </row>
    <row r="28" customFormat="false" ht="15" hidden="false" customHeight="false" outlineLevel="0" collapsed="false">
      <c r="A28" s="4"/>
      <c r="B28" s="3"/>
    </row>
    <row r="29" customFormat="false" ht="15" hidden="false" customHeight="false" outlineLevel="0" collapsed="false">
      <c r="A29" s="2" t="s">
        <v>34</v>
      </c>
      <c r="B29" s="3" t="s">
        <v>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21"/>
    <col collapsed="false" customWidth="true" hidden="false" outlineLevel="0" max="11" min="11" style="0" width="17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34"/>
    <col collapsed="false" customWidth="true" hidden="false" outlineLevel="0" max="15" min="15" style="0" width="30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23.85" hidden="false" customHeight="false" outlineLevel="0" collapsed="false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12</v>
      </c>
    </row>
    <row r="3" customFormat="false" ht="15" hidden="false" customHeight="false" outlineLevel="0" collapsed="false">
      <c r="A3" s="9" t="s">
        <v>52</v>
      </c>
      <c r="B3" s="9" t="s">
        <v>53</v>
      </c>
      <c r="C3" s="9" t="n">
        <v>68</v>
      </c>
      <c r="D3" s="9" t="s">
        <v>54</v>
      </c>
      <c r="E3" s="9" t="s">
        <v>54</v>
      </c>
      <c r="F3" s="9" t="s">
        <v>55</v>
      </c>
      <c r="G3" s="9" t="n">
        <v>4000</v>
      </c>
      <c r="H3" s="9" t="s">
        <v>56</v>
      </c>
      <c r="I3" s="10" t="n">
        <v>1159.88</v>
      </c>
      <c r="J3" s="10" t="n">
        <v>1084</v>
      </c>
      <c r="K3" s="11" t="n">
        <v>1060</v>
      </c>
      <c r="L3" s="12" t="n">
        <f aca="false">IFERROR(IF(N(J3)=0,"",(K3-J3)/J3),"")</f>
        <v>-0.022140221402214</v>
      </c>
      <c r="M3" s="13" t="s">
        <v>57</v>
      </c>
      <c r="N3" s="9" t="s">
        <v>58</v>
      </c>
      <c r="O3" s="9" t="s">
        <v>59</v>
      </c>
      <c r="P3" s="9" t="s">
        <v>13</v>
      </c>
    </row>
    <row r="4" customFormat="false" ht="15" hidden="false" customHeight="false" outlineLevel="0" collapsed="false">
      <c r="A4" s="9" t="s">
        <v>60</v>
      </c>
      <c r="B4" s="9" t="s">
        <v>61</v>
      </c>
      <c r="C4" s="9" t="n">
        <v>68</v>
      </c>
      <c r="D4" s="9" t="s">
        <v>54</v>
      </c>
      <c r="E4" s="9" t="s">
        <v>54</v>
      </c>
      <c r="F4" s="9" t="s">
        <v>62</v>
      </c>
      <c r="G4" s="9" t="n">
        <v>4000</v>
      </c>
      <c r="H4" s="9" t="s">
        <v>56</v>
      </c>
      <c r="I4" s="10" t="n">
        <v>470.8</v>
      </c>
      <c r="J4" s="10" t="n">
        <v>440</v>
      </c>
      <c r="K4" s="11" t="n">
        <v>420</v>
      </c>
      <c r="L4" s="12" t="n">
        <f aca="false">IFERROR(IF(N(J4)=0,"",(K4-J4)/J4),"")</f>
        <v>-0.0454545454545455</v>
      </c>
      <c r="M4" s="13" t="s">
        <v>57</v>
      </c>
      <c r="N4" s="9" t="s">
        <v>58</v>
      </c>
      <c r="O4" s="9" t="s">
        <v>59</v>
      </c>
      <c r="P4" s="9" t="s">
        <v>13</v>
      </c>
    </row>
    <row r="5" customFormat="false" ht="15" hidden="false" customHeight="false" outlineLevel="0" collapsed="false">
      <c r="A5" s="9" t="s">
        <v>63</v>
      </c>
      <c r="B5" s="9" t="s">
        <v>64</v>
      </c>
      <c r="C5" s="9" t="n">
        <v>68</v>
      </c>
      <c r="D5" s="9" t="s">
        <v>54</v>
      </c>
      <c r="E5" s="9" t="s">
        <v>54</v>
      </c>
      <c r="F5" s="9" t="s">
        <v>62</v>
      </c>
      <c r="G5" s="9" t="n">
        <v>4000</v>
      </c>
      <c r="H5" s="9" t="s">
        <v>56</v>
      </c>
      <c r="I5" s="10" t="n">
        <v>778.96</v>
      </c>
      <c r="J5" s="10" t="n">
        <v>728</v>
      </c>
      <c r="K5" s="11" t="n">
        <v>704</v>
      </c>
      <c r="L5" s="12" t="n">
        <f aca="false">IFERROR(IF(N(J5)=0,"",(K5-J5)/J5),"")</f>
        <v>-0.032967032967033</v>
      </c>
      <c r="M5" s="13" t="s">
        <v>57</v>
      </c>
      <c r="N5" s="9" t="s">
        <v>58</v>
      </c>
      <c r="O5" s="9" t="s">
        <v>59</v>
      </c>
      <c r="P5" s="9" t="s">
        <v>13</v>
      </c>
    </row>
    <row r="6" customFormat="false" ht="15" hidden="false" customHeight="false" outlineLevel="0" collapsed="false">
      <c r="A6" s="9" t="s">
        <v>65</v>
      </c>
      <c r="B6" s="9" t="s">
        <v>66</v>
      </c>
      <c r="C6" s="9" t="n">
        <v>68</v>
      </c>
      <c r="D6" s="9" t="s">
        <v>54</v>
      </c>
      <c r="E6" s="9" t="s">
        <v>54</v>
      </c>
      <c r="F6" s="9" t="s">
        <v>55</v>
      </c>
      <c r="G6" s="9" t="n">
        <v>20000</v>
      </c>
      <c r="H6" s="9" t="s">
        <v>56</v>
      </c>
      <c r="I6" s="10" t="n">
        <v>11021</v>
      </c>
      <c r="J6" s="10" t="n">
        <v>10300</v>
      </c>
      <c r="K6" s="11" t="n">
        <v>9660</v>
      </c>
      <c r="L6" s="12" t="n">
        <f aca="false">IFERROR(IF(N(J6)=0,"",(K6-J6)/J6),"")</f>
        <v>-0.0621359223300971</v>
      </c>
      <c r="M6" s="13" t="s">
        <v>57</v>
      </c>
      <c r="N6" s="9" t="s">
        <v>67</v>
      </c>
      <c r="O6" s="9" t="s">
        <v>59</v>
      </c>
      <c r="P6" s="9" t="s">
        <v>13</v>
      </c>
    </row>
    <row r="7" customFormat="false" ht="15" hidden="false" customHeight="false" outlineLevel="0" collapsed="false">
      <c r="A7" s="9" t="s">
        <v>68</v>
      </c>
      <c r="B7" s="9" t="s">
        <v>69</v>
      </c>
      <c r="C7" s="9" t="s">
        <v>70</v>
      </c>
      <c r="D7" s="9" t="s">
        <v>54</v>
      </c>
      <c r="E7" s="9" t="s">
        <v>54</v>
      </c>
      <c r="F7" s="9" t="s">
        <v>62</v>
      </c>
      <c r="G7" s="9" t="n">
        <v>1100</v>
      </c>
      <c r="H7" s="9" t="s">
        <v>56</v>
      </c>
      <c r="I7" s="10" t="n">
        <v>243.74</v>
      </c>
      <c r="J7" s="10" t="n">
        <v>227.7944</v>
      </c>
      <c r="K7" s="11" t="n">
        <v>227.8</v>
      </c>
      <c r="L7" s="12" t="n">
        <f aca="false">IFERROR(IF(N(J7)=0,"",(K7-J7)/J7),"")</f>
        <v>2.45835718525801E-005</v>
      </c>
      <c r="M7" s="13" t="s">
        <v>57</v>
      </c>
      <c r="N7" s="9" t="s">
        <v>71</v>
      </c>
      <c r="O7" s="9" t="s">
        <v>59</v>
      </c>
      <c r="P7" s="9" t="s">
        <v>13</v>
      </c>
    </row>
    <row r="8" customFormat="false" ht="15" hidden="false" customHeight="false" outlineLevel="0" collapsed="false">
      <c r="A8" s="9" t="s">
        <v>72</v>
      </c>
      <c r="B8" s="9" t="s">
        <v>73</v>
      </c>
      <c r="C8" s="9" t="s">
        <v>70</v>
      </c>
      <c r="D8" s="9" t="s">
        <v>54</v>
      </c>
      <c r="E8" s="9" t="s">
        <v>54</v>
      </c>
      <c r="F8" s="9" t="s">
        <v>74</v>
      </c>
      <c r="G8" s="9" t="n">
        <v>10000</v>
      </c>
      <c r="H8" s="9" t="s">
        <v>56</v>
      </c>
      <c r="I8" s="10" t="n">
        <v>120.61</v>
      </c>
      <c r="J8" s="10" t="n">
        <v>112.7196</v>
      </c>
      <c r="K8" s="11" t="n">
        <v>106.74</v>
      </c>
      <c r="L8" s="12" t="n">
        <f aca="false">IFERROR(IF(N(J8)=0,"",(K8-J8)/J8),"")</f>
        <v>-0.0530484494267191</v>
      </c>
      <c r="M8" s="13" t="s">
        <v>57</v>
      </c>
      <c r="N8" s="9" t="s">
        <v>75</v>
      </c>
      <c r="O8" s="9" t="s">
        <v>59</v>
      </c>
      <c r="P8" s="9" t="s">
        <v>13</v>
      </c>
    </row>
    <row r="9" customFormat="false" ht="15" hidden="false" customHeight="false" outlineLevel="0" collapsed="false">
      <c r="A9" s="9" t="s">
        <v>76</v>
      </c>
      <c r="B9" s="9" t="s">
        <v>77</v>
      </c>
      <c r="C9" s="9" t="n">
        <v>68</v>
      </c>
      <c r="D9" s="9" t="s">
        <v>54</v>
      </c>
      <c r="E9" s="9" t="s">
        <v>54</v>
      </c>
      <c r="F9" s="9" t="s">
        <v>55</v>
      </c>
      <c r="G9" s="9" t="n">
        <v>20000</v>
      </c>
      <c r="H9" s="9" t="s">
        <v>56</v>
      </c>
      <c r="I9" s="10" t="n">
        <v>2709.24</v>
      </c>
      <c r="J9" s="10" t="n">
        <v>2532</v>
      </c>
      <c r="K9" s="11" t="n">
        <v>2480</v>
      </c>
      <c r="L9" s="12" t="n">
        <f aca="false">IFERROR(IF(N(J9)=0,"",(K9-J9)/J9),"")</f>
        <v>-0.0205371248025276</v>
      </c>
      <c r="M9" s="13" t="s">
        <v>57</v>
      </c>
      <c r="N9" s="9" t="s">
        <v>78</v>
      </c>
      <c r="O9" s="9" t="s">
        <v>59</v>
      </c>
      <c r="P9" s="9" t="s">
        <v>13</v>
      </c>
    </row>
    <row r="10" customFormat="false" ht="15" hidden="false" customHeight="false" outlineLevel="0" collapsed="false">
      <c r="A10" s="9" t="s">
        <v>79</v>
      </c>
      <c r="B10" s="9" t="s">
        <v>80</v>
      </c>
      <c r="C10" s="9" t="n">
        <v>68</v>
      </c>
      <c r="D10" s="9" t="s">
        <v>54</v>
      </c>
      <c r="E10" s="9" t="s">
        <v>54</v>
      </c>
      <c r="F10" s="9" t="s">
        <v>62</v>
      </c>
      <c r="G10" s="9" t="n">
        <v>18</v>
      </c>
      <c r="H10" s="9" t="s">
        <v>81</v>
      </c>
      <c r="I10" s="10" t="n">
        <v>48.89</v>
      </c>
      <c r="J10" s="10" t="n">
        <v>45.6916</v>
      </c>
      <c r="K10" s="11" t="n">
        <v>44.9511</v>
      </c>
      <c r="L10" s="12" t="n">
        <f aca="false">IFERROR(IF(N(J10)=0,"",(K10-J10)/J10),"")</f>
        <v>-0.0162064799656831</v>
      </c>
      <c r="M10" s="13" t="s">
        <v>57</v>
      </c>
      <c r="N10" s="9" t="s">
        <v>82</v>
      </c>
      <c r="O10" s="9" t="s">
        <v>59</v>
      </c>
      <c r="P10" s="9" t="s">
        <v>13</v>
      </c>
    </row>
    <row r="11" customFormat="false" ht="15" hidden="false" customHeight="false" outlineLevel="0" collapsed="false">
      <c r="A11" s="9" t="s">
        <v>83</v>
      </c>
      <c r="B11" s="9" t="s">
        <v>84</v>
      </c>
      <c r="C11" s="9" t="n">
        <v>68</v>
      </c>
      <c r="D11" s="9" t="s">
        <v>54</v>
      </c>
      <c r="E11" s="9" t="s">
        <v>54</v>
      </c>
      <c r="F11" s="9" t="s">
        <v>85</v>
      </c>
      <c r="G11" s="9" t="n">
        <v>200</v>
      </c>
      <c r="H11" s="9" t="s">
        <v>81</v>
      </c>
      <c r="I11" s="10" t="n">
        <v>1778.34</v>
      </c>
      <c r="J11" s="10" t="n">
        <v>1662</v>
      </c>
      <c r="K11" s="11" t="n">
        <v>1270</v>
      </c>
      <c r="L11" s="12" t="n">
        <f aca="false">IFERROR(IF(N(J11)=0,"",(K11-J11)/J11),"")</f>
        <v>-0.235860409145608</v>
      </c>
      <c r="M11" s="13" t="s">
        <v>57</v>
      </c>
      <c r="N11" s="9" t="s">
        <v>86</v>
      </c>
      <c r="O11" s="9" t="s">
        <v>87</v>
      </c>
      <c r="P11" s="9" t="s">
        <v>13</v>
      </c>
    </row>
    <row r="12" customFormat="false" ht="15" hidden="false" customHeight="false" outlineLevel="0" collapsed="false">
      <c r="A12" s="9" t="s">
        <v>88</v>
      </c>
      <c r="B12" s="9" t="s">
        <v>89</v>
      </c>
      <c r="C12" s="9" t="n">
        <v>68</v>
      </c>
      <c r="D12" s="9" t="s">
        <v>54</v>
      </c>
      <c r="E12" s="9" t="s">
        <v>54</v>
      </c>
      <c r="F12" s="9" t="s">
        <v>85</v>
      </c>
      <c r="G12" s="9" t="n">
        <v>1350</v>
      </c>
      <c r="H12" s="9" t="s">
        <v>81</v>
      </c>
      <c r="I12" s="10" t="n">
        <v>1796</v>
      </c>
      <c r="J12" s="10" t="n">
        <v>1678.5047</v>
      </c>
      <c r="K12" s="11" t="n">
        <v>1282.5</v>
      </c>
      <c r="L12" s="12" t="n">
        <f aca="false">IFERROR(IF(N(J12)=0,"",(K12-J12)/J12),"")</f>
        <v>-0.235927072471111</v>
      </c>
      <c r="M12" s="13" t="s">
        <v>57</v>
      </c>
      <c r="N12" s="9" t="s">
        <v>86</v>
      </c>
      <c r="O12" s="9" t="s">
        <v>59</v>
      </c>
      <c r="P12" s="9" t="s">
        <v>13</v>
      </c>
    </row>
    <row r="13" customFormat="false" ht="15" hidden="false" customHeight="false" outlineLevel="0" collapsed="false">
      <c r="A13" s="9" t="s">
        <v>90</v>
      </c>
      <c r="B13" s="9" t="s">
        <v>91</v>
      </c>
      <c r="C13" s="9" t="n">
        <v>68</v>
      </c>
      <c r="D13" s="9" t="s">
        <v>54</v>
      </c>
      <c r="E13" s="9" t="s">
        <v>54</v>
      </c>
      <c r="F13" s="9" t="s">
        <v>85</v>
      </c>
      <c r="G13" s="9" t="n">
        <v>80</v>
      </c>
      <c r="H13" s="9" t="s">
        <v>81</v>
      </c>
      <c r="I13" s="10" t="n">
        <v>929.37</v>
      </c>
      <c r="J13" s="10" t="n">
        <v>868.5701</v>
      </c>
      <c r="K13" s="11" t="n">
        <v>760</v>
      </c>
      <c r="L13" s="12" t="n">
        <f aca="false">IFERROR(IF(N(J13)=0,"",(K13-J13)/J13),"")</f>
        <v>-0.124998661593348</v>
      </c>
      <c r="M13" s="13" t="s">
        <v>57</v>
      </c>
      <c r="N13" s="9" t="s">
        <v>92</v>
      </c>
      <c r="O13" s="9" t="s">
        <v>59</v>
      </c>
      <c r="P13" s="9" t="s">
        <v>13</v>
      </c>
    </row>
    <row r="14" customFormat="false" ht="15" hidden="false" customHeight="false" outlineLevel="0" collapsed="false">
      <c r="A14" s="9" t="s">
        <v>93</v>
      </c>
      <c r="B14" s="9" t="s">
        <v>94</v>
      </c>
      <c r="C14" s="9" t="n">
        <v>68</v>
      </c>
      <c r="D14" s="9" t="s">
        <v>54</v>
      </c>
      <c r="E14" s="9" t="s">
        <v>54</v>
      </c>
      <c r="F14" s="9" t="s">
        <v>85</v>
      </c>
      <c r="G14" s="9" t="n">
        <v>300</v>
      </c>
      <c r="H14" s="9" t="s">
        <v>81</v>
      </c>
      <c r="I14" s="10" t="n">
        <v>1344.99</v>
      </c>
      <c r="J14" s="10" t="n">
        <v>1257</v>
      </c>
      <c r="K14" s="11" t="n">
        <v>960</v>
      </c>
      <c r="L14" s="12" t="n">
        <f aca="false">IFERROR(IF(N(J14)=0,"",(K14-J14)/J14),"")</f>
        <v>-0.236276849642005</v>
      </c>
      <c r="M14" s="13" t="s">
        <v>57</v>
      </c>
      <c r="N14" s="9" t="s">
        <v>86</v>
      </c>
      <c r="O14" s="9" t="s">
        <v>59</v>
      </c>
      <c r="P14" s="9" t="s">
        <v>13</v>
      </c>
    </row>
    <row r="15" customFormat="false" ht="15" hidden="false" customHeight="false" outlineLevel="0" collapsed="false">
      <c r="A15" s="9" t="s">
        <v>95</v>
      </c>
      <c r="B15" s="9" t="s">
        <v>96</v>
      </c>
      <c r="C15" s="9" t="n">
        <v>68</v>
      </c>
      <c r="D15" s="9" t="s">
        <v>54</v>
      </c>
      <c r="E15" s="9" t="s">
        <v>54</v>
      </c>
      <c r="F15" s="9" t="s">
        <v>62</v>
      </c>
      <c r="G15" s="9" t="n">
        <v>1000</v>
      </c>
      <c r="H15" s="9" t="s">
        <v>56</v>
      </c>
      <c r="I15" s="10" t="n">
        <v>196.88</v>
      </c>
      <c r="J15" s="10" t="n">
        <v>184</v>
      </c>
      <c r="K15" s="11" t="n">
        <v>177</v>
      </c>
      <c r="L15" s="12" t="n">
        <f aca="false">IFERROR(IF(N(J15)=0,"",(K15-J15)/J15),"")</f>
        <v>-0.0380434782608696</v>
      </c>
      <c r="M15" s="13" t="s">
        <v>57</v>
      </c>
      <c r="N15" s="9" t="s">
        <v>97</v>
      </c>
      <c r="O15" s="9" t="s">
        <v>59</v>
      </c>
      <c r="P15" s="9" t="s">
        <v>13</v>
      </c>
    </row>
    <row r="16" customFormat="false" ht="15" hidden="false" customHeight="false" outlineLevel="0" collapsed="false">
      <c r="A16" s="9" t="s">
        <v>98</v>
      </c>
      <c r="B16" s="9" t="s">
        <v>99</v>
      </c>
      <c r="C16" s="9" t="n">
        <v>68</v>
      </c>
      <c r="D16" s="9" t="s">
        <v>54</v>
      </c>
      <c r="E16" s="9" t="s">
        <v>54</v>
      </c>
      <c r="F16" s="9" t="s">
        <v>85</v>
      </c>
      <c r="G16" s="9" t="n">
        <v>6</v>
      </c>
      <c r="H16" s="9" t="s">
        <v>62</v>
      </c>
      <c r="I16" s="10" t="n">
        <v>1335.36</v>
      </c>
      <c r="J16" s="10" t="n">
        <v>1248</v>
      </c>
      <c r="K16" s="11" t="n">
        <v>1140</v>
      </c>
      <c r="L16" s="12" t="n">
        <f aca="false">IFERROR(IF(N(J16)=0,"",(K16-J16)/J16),"")</f>
        <v>-0.0865384615384615</v>
      </c>
      <c r="M16" s="13" t="s">
        <v>57</v>
      </c>
      <c r="N16" s="9" t="s">
        <v>100</v>
      </c>
      <c r="O16" s="9" t="s">
        <v>59</v>
      </c>
      <c r="P16" s="9" t="s">
        <v>13</v>
      </c>
    </row>
    <row r="17" customFormat="false" ht="15" hidden="false" customHeight="false" outlineLevel="0" collapsed="false">
      <c r="A17" s="9" t="s">
        <v>101</v>
      </c>
      <c r="B17" s="9" t="s">
        <v>102</v>
      </c>
      <c r="C17" s="9" t="n">
        <v>68</v>
      </c>
      <c r="D17" s="9" t="s">
        <v>54</v>
      </c>
      <c r="E17" s="9" t="s">
        <v>54</v>
      </c>
      <c r="F17" s="9" t="s">
        <v>55</v>
      </c>
      <c r="G17" s="9" t="n">
        <v>10000</v>
      </c>
      <c r="H17" s="9" t="s">
        <v>56</v>
      </c>
      <c r="I17" s="10" t="n">
        <v>385.2</v>
      </c>
      <c r="J17" s="10" t="n">
        <v>360</v>
      </c>
      <c r="K17" s="11" t="n">
        <v>330</v>
      </c>
      <c r="L17" s="12" t="n">
        <f aca="false">IFERROR(IF(N(J17)=0,"",(K17-J17)/J17),"")</f>
        <v>-0.0833333333333333</v>
      </c>
      <c r="M17" s="13" t="s">
        <v>57</v>
      </c>
      <c r="N17" s="9" t="s">
        <v>103</v>
      </c>
      <c r="O17" s="9" t="s">
        <v>59</v>
      </c>
      <c r="P17" s="9" t="s">
        <v>13</v>
      </c>
    </row>
    <row r="18" customFormat="false" ht="15" hidden="false" customHeight="false" outlineLevel="0" collapsed="false">
      <c r="A18" s="9" t="s">
        <v>104</v>
      </c>
      <c r="B18" s="9" t="s">
        <v>105</v>
      </c>
      <c r="C18" s="9" t="n">
        <v>68</v>
      </c>
      <c r="D18" s="9" t="s">
        <v>54</v>
      </c>
      <c r="E18" s="9" t="s">
        <v>54</v>
      </c>
      <c r="F18" s="9" t="s">
        <v>106</v>
      </c>
      <c r="G18" s="9" t="n">
        <v>22500</v>
      </c>
      <c r="H18" s="9" t="s">
        <v>56</v>
      </c>
      <c r="I18" s="10" t="n">
        <v>674.63</v>
      </c>
      <c r="J18" s="10" t="n">
        <v>630.4953</v>
      </c>
      <c r="K18" s="11" t="n">
        <v>610.95</v>
      </c>
      <c r="L18" s="12" t="n">
        <f aca="false">IFERROR(IF(N(J18)=0,"",(K18-J18)/J18),"")</f>
        <v>-0.0309999138772327</v>
      </c>
      <c r="M18" s="13" t="s">
        <v>57</v>
      </c>
      <c r="N18" s="9" t="s">
        <v>107</v>
      </c>
      <c r="O18" s="9" t="s">
        <v>59</v>
      </c>
      <c r="P18" s="9" t="s">
        <v>13</v>
      </c>
    </row>
    <row r="19" customFormat="false" ht="15" hidden="false" customHeight="false" outlineLevel="0" collapsed="false">
      <c r="A19" s="9" t="s">
        <v>108</v>
      </c>
      <c r="B19" s="9" t="s">
        <v>109</v>
      </c>
      <c r="C19" s="9" t="n">
        <v>68</v>
      </c>
      <c r="D19" s="9" t="s">
        <v>54</v>
      </c>
      <c r="E19" s="9" t="s">
        <v>54</v>
      </c>
      <c r="F19" s="9" t="s">
        <v>106</v>
      </c>
      <c r="G19" s="9" t="n">
        <v>22500</v>
      </c>
      <c r="H19" s="9" t="s">
        <v>56</v>
      </c>
      <c r="I19" s="10" t="n">
        <v>799.29</v>
      </c>
      <c r="J19" s="10" t="n">
        <v>747</v>
      </c>
      <c r="K19" s="11" t="n">
        <v>725.15</v>
      </c>
      <c r="L19" s="12" t="n">
        <f aca="false">IFERROR(IF(N(J19)=0,"",(K19-J19)/J19),"")</f>
        <v>-0.0292503346720215</v>
      </c>
      <c r="M19" s="13" t="s">
        <v>57</v>
      </c>
      <c r="N19" s="9" t="s">
        <v>107</v>
      </c>
      <c r="O19" s="9" t="s">
        <v>59</v>
      </c>
      <c r="P19" s="9" t="s">
        <v>13</v>
      </c>
    </row>
    <row r="20" customFormat="false" ht="15" hidden="false" customHeight="false" outlineLevel="0" collapsed="false">
      <c r="A20" s="9" t="s">
        <v>110</v>
      </c>
      <c r="B20" s="9" t="s">
        <v>111</v>
      </c>
      <c r="C20" s="9" t="n">
        <v>68</v>
      </c>
      <c r="D20" s="9" t="s">
        <v>54</v>
      </c>
      <c r="E20" s="9" t="s">
        <v>54</v>
      </c>
      <c r="F20" s="9" t="s">
        <v>106</v>
      </c>
      <c r="G20" s="9" t="n">
        <v>22500</v>
      </c>
      <c r="H20" s="9" t="s">
        <v>56</v>
      </c>
      <c r="I20" s="10" t="n">
        <v>640.39</v>
      </c>
      <c r="J20" s="10" t="n">
        <v>598.4953</v>
      </c>
      <c r="K20" s="11" t="n">
        <v>581.25</v>
      </c>
      <c r="L20" s="12" t="n">
        <f aca="false">IFERROR(IF(N(J20)=0,"",(K20-J20)/J20),"")</f>
        <v>-0.0288144284508166</v>
      </c>
      <c r="M20" s="13" t="s">
        <v>57</v>
      </c>
      <c r="N20" s="9" t="s">
        <v>107</v>
      </c>
      <c r="O20" s="9" t="s">
        <v>59</v>
      </c>
      <c r="P20" s="9" t="s">
        <v>13</v>
      </c>
    </row>
    <row r="21" customFormat="false" ht="15" hidden="false" customHeight="false" outlineLevel="0" collapsed="false">
      <c r="A21" s="9" t="s">
        <v>112</v>
      </c>
      <c r="B21" s="9" t="s">
        <v>113</v>
      </c>
      <c r="C21" s="9" t="n">
        <v>68</v>
      </c>
      <c r="D21" s="9" t="s">
        <v>54</v>
      </c>
      <c r="E21" s="9" t="s">
        <v>54</v>
      </c>
      <c r="F21" s="9" t="s">
        <v>62</v>
      </c>
      <c r="G21" s="9" t="n">
        <v>1000</v>
      </c>
      <c r="H21" s="9" t="s">
        <v>56</v>
      </c>
      <c r="I21" s="10" t="n">
        <v>137.5</v>
      </c>
      <c r="J21" s="10" t="n">
        <v>128.5047</v>
      </c>
      <c r="K21" s="11" t="n">
        <v>126</v>
      </c>
      <c r="L21" s="12" t="n">
        <f aca="false">IFERROR(IF(N(J21)=0,"",(K21-J21)/J21),"")</f>
        <v>-0.0194911158891466</v>
      </c>
      <c r="M21" s="13" t="s">
        <v>57</v>
      </c>
      <c r="N21" s="9" t="s">
        <v>78</v>
      </c>
      <c r="O21" s="9" t="s">
        <v>59</v>
      </c>
      <c r="P21" s="9" t="s">
        <v>13</v>
      </c>
    </row>
    <row r="22" customFormat="false" ht="15" hidden="false" customHeight="false" outlineLevel="0" collapsed="false">
      <c r="A22" s="9" t="s">
        <v>114</v>
      </c>
      <c r="B22" s="9" t="s">
        <v>115</v>
      </c>
      <c r="C22" s="9" t="n">
        <v>68</v>
      </c>
      <c r="D22" s="9" t="s">
        <v>54</v>
      </c>
      <c r="E22" s="9" t="s">
        <v>54</v>
      </c>
      <c r="F22" s="9" t="s">
        <v>55</v>
      </c>
      <c r="G22" s="9" t="n">
        <v>10000</v>
      </c>
      <c r="H22" s="9" t="s">
        <v>56</v>
      </c>
      <c r="I22" s="10" t="n">
        <v>1251.9</v>
      </c>
      <c r="J22" s="10" t="n">
        <v>1170</v>
      </c>
      <c r="K22" s="11" t="n">
        <v>1160</v>
      </c>
      <c r="L22" s="12" t="n">
        <f aca="false">IFERROR(IF(N(J22)=0,"",(K22-J22)/J22),"")</f>
        <v>-0.00854700854700855</v>
      </c>
      <c r="M22" s="13" t="s">
        <v>57</v>
      </c>
      <c r="N22" s="9" t="s">
        <v>58</v>
      </c>
      <c r="O22" s="9" t="s">
        <v>59</v>
      </c>
      <c r="P22" s="9" t="s">
        <v>13</v>
      </c>
    </row>
    <row r="23" customFormat="false" ht="15" hidden="false" customHeight="false" outlineLevel="0" collapsed="false">
      <c r="A23" s="9" t="s">
        <v>116</v>
      </c>
      <c r="B23" s="9" t="s">
        <v>117</v>
      </c>
      <c r="C23" s="9" t="n">
        <v>68</v>
      </c>
      <c r="D23" s="9" t="s">
        <v>54</v>
      </c>
      <c r="E23" s="9" t="s">
        <v>54</v>
      </c>
      <c r="F23" s="9" t="s">
        <v>85</v>
      </c>
      <c r="G23" s="9" t="n">
        <v>10000</v>
      </c>
      <c r="H23" s="9" t="s">
        <v>56</v>
      </c>
      <c r="I23" s="10" t="n">
        <v>1813.65</v>
      </c>
      <c r="J23" s="10" t="n">
        <v>1695</v>
      </c>
      <c r="K23" s="11" t="n">
        <v>1660</v>
      </c>
      <c r="L23" s="12" t="n">
        <f aca="false">IFERROR(IF(N(J23)=0,"",(K23-J23)/J23),"")</f>
        <v>-0.0206489675516224</v>
      </c>
      <c r="M23" s="13" t="s">
        <v>57</v>
      </c>
      <c r="N23" s="9" t="s">
        <v>78</v>
      </c>
      <c r="O23" s="9" t="s">
        <v>59</v>
      </c>
      <c r="P23" s="9" t="s">
        <v>13</v>
      </c>
    </row>
    <row r="24" customFormat="false" ht="15" hidden="false" customHeight="false" outlineLevel="0" collapsed="false">
      <c r="A24" s="9" t="s">
        <v>118</v>
      </c>
      <c r="B24" s="9" t="s">
        <v>119</v>
      </c>
      <c r="C24" s="9" t="n">
        <v>68</v>
      </c>
      <c r="D24" s="9" t="s">
        <v>54</v>
      </c>
      <c r="E24" s="9" t="s">
        <v>54</v>
      </c>
      <c r="F24" s="9" t="s">
        <v>85</v>
      </c>
      <c r="G24" s="9" t="n">
        <v>300</v>
      </c>
      <c r="H24" s="9" t="s">
        <v>120</v>
      </c>
      <c r="I24" s="10" t="n">
        <v>1052.88</v>
      </c>
      <c r="J24" s="10" t="n">
        <v>984</v>
      </c>
      <c r="K24" s="11" t="n">
        <v>750</v>
      </c>
      <c r="L24" s="12" t="n">
        <f aca="false">IFERROR(IF(N(J24)=0,"",(K24-J24)/J24),"")</f>
        <v>-0.23780487804878</v>
      </c>
      <c r="M24" s="13" t="s">
        <v>57</v>
      </c>
      <c r="N24" s="9" t="s">
        <v>86</v>
      </c>
      <c r="O24" s="9" t="s">
        <v>59</v>
      </c>
      <c r="P24" s="9" t="s">
        <v>13</v>
      </c>
    </row>
    <row r="25" customFormat="false" ht="15" hidden="false" customHeight="false" outlineLevel="0" collapsed="false">
      <c r="A25" s="9" t="s">
        <v>121</v>
      </c>
      <c r="B25" s="9" t="s">
        <v>122</v>
      </c>
      <c r="C25" s="9" t="n">
        <v>68</v>
      </c>
      <c r="D25" s="9" t="s">
        <v>54</v>
      </c>
      <c r="E25" s="9" t="s">
        <v>54</v>
      </c>
      <c r="F25" s="9" t="s">
        <v>85</v>
      </c>
      <c r="G25" s="9" t="n">
        <v>100</v>
      </c>
      <c r="H25" s="9" t="s">
        <v>81</v>
      </c>
      <c r="I25" s="10" t="n">
        <v>413.02</v>
      </c>
      <c r="J25" s="10" t="n">
        <v>386</v>
      </c>
      <c r="K25" s="11" t="n">
        <v>290</v>
      </c>
      <c r="L25" s="12" t="n">
        <f aca="false">IFERROR(IF(N(J25)=0,"",(K25-J25)/J25),"")</f>
        <v>-0.248704663212435</v>
      </c>
      <c r="M25" s="13" t="s">
        <v>57</v>
      </c>
      <c r="N25" s="9" t="s">
        <v>86</v>
      </c>
      <c r="O25" s="9" t="s">
        <v>59</v>
      </c>
      <c r="P25" s="9" t="s">
        <v>13</v>
      </c>
    </row>
    <row r="26" customFormat="false" ht="15" hidden="false" customHeight="false" outlineLevel="0" collapsed="false">
      <c r="A26" s="9" t="s">
        <v>123</v>
      </c>
      <c r="B26" s="9" t="s">
        <v>124</v>
      </c>
      <c r="C26" s="9" t="n">
        <v>68</v>
      </c>
      <c r="D26" s="9" t="s">
        <v>54</v>
      </c>
      <c r="E26" s="9" t="s">
        <v>54</v>
      </c>
      <c r="F26" s="9" t="s">
        <v>85</v>
      </c>
      <c r="G26" s="9" t="n">
        <v>200</v>
      </c>
      <c r="H26" s="9" t="s">
        <v>81</v>
      </c>
      <c r="I26" s="10" t="n">
        <v>594.92</v>
      </c>
      <c r="J26" s="10" t="n">
        <v>556</v>
      </c>
      <c r="K26" s="11" t="n">
        <v>420</v>
      </c>
      <c r="L26" s="12" t="n">
        <f aca="false">IFERROR(IF(N(J26)=0,"",(K26-J26)/J26),"")</f>
        <v>-0.244604316546763</v>
      </c>
      <c r="M26" s="13" t="s">
        <v>57</v>
      </c>
      <c r="N26" s="9" t="s">
        <v>86</v>
      </c>
      <c r="O26" s="9" t="s">
        <v>87</v>
      </c>
      <c r="P26" s="9" t="s">
        <v>13</v>
      </c>
    </row>
    <row r="27" customFormat="false" ht="15" hidden="false" customHeight="false" outlineLevel="0" collapsed="false">
      <c r="A27" s="9" t="s">
        <v>125</v>
      </c>
      <c r="B27" s="9" t="s">
        <v>126</v>
      </c>
      <c r="C27" s="9" t="n">
        <v>68</v>
      </c>
      <c r="D27" s="9" t="s">
        <v>54</v>
      </c>
      <c r="E27" s="9" t="s">
        <v>54</v>
      </c>
      <c r="F27" s="9" t="s">
        <v>74</v>
      </c>
      <c r="G27" s="9" t="n">
        <v>1000</v>
      </c>
      <c r="H27" s="9" t="s">
        <v>81</v>
      </c>
      <c r="I27" s="10" t="n">
        <v>1316.1</v>
      </c>
      <c r="J27" s="10" t="n">
        <v>1230</v>
      </c>
      <c r="K27" s="11" t="n">
        <v>799.18</v>
      </c>
      <c r="L27" s="12" t="n">
        <f aca="false">IFERROR(IF(N(J27)=0,"",(K27-J27)/J27),"")</f>
        <v>-0.350260162601626</v>
      </c>
      <c r="M27" s="13" t="s">
        <v>57</v>
      </c>
      <c r="N27" s="9" t="s">
        <v>127</v>
      </c>
      <c r="O27" s="9" t="s">
        <v>59</v>
      </c>
      <c r="P27" s="9" t="s">
        <v>13</v>
      </c>
    </row>
    <row r="28" customFormat="false" ht="15" hidden="false" customHeight="false" outlineLevel="0" collapsed="false">
      <c r="A28" s="9" t="s">
        <v>128</v>
      </c>
      <c r="B28" s="9" t="s">
        <v>129</v>
      </c>
      <c r="C28" s="9" t="n">
        <v>68</v>
      </c>
      <c r="D28" s="9" t="s">
        <v>54</v>
      </c>
      <c r="E28" s="9" t="s">
        <v>54</v>
      </c>
      <c r="F28" s="9" t="s">
        <v>74</v>
      </c>
      <c r="G28" s="9" t="n">
        <v>1000</v>
      </c>
      <c r="H28" s="9" t="s">
        <v>130</v>
      </c>
      <c r="I28" s="10" t="n">
        <v>1433.8</v>
      </c>
      <c r="J28" s="10" t="n">
        <v>1340</v>
      </c>
      <c r="K28" s="11" t="n">
        <v>819.67</v>
      </c>
      <c r="L28" s="12" t="n">
        <f aca="false">IFERROR(IF(N(J28)=0,"",(K28-J28)/J28),"")</f>
        <v>-0.388305970149254</v>
      </c>
      <c r="M28" s="13" t="s">
        <v>57</v>
      </c>
      <c r="N28" s="9" t="s">
        <v>127</v>
      </c>
      <c r="O28" s="9" t="s">
        <v>59</v>
      </c>
      <c r="P28" s="9" t="s">
        <v>13</v>
      </c>
    </row>
    <row r="29" customFormat="false" ht="15" hidden="false" customHeight="false" outlineLevel="0" collapsed="false">
      <c r="A29" s="9" t="s">
        <v>131</v>
      </c>
      <c r="B29" s="9" t="s">
        <v>132</v>
      </c>
      <c r="C29" s="9" t="n">
        <v>68</v>
      </c>
      <c r="D29" s="9" t="s">
        <v>54</v>
      </c>
      <c r="E29" s="9" t="s">
        <v>54</v>
      </c>
      <c r="F29" s="9" t="s">
        <v>55</v>
      </c>
      <c r="G29" s="9" t="n">
        <v>1000</v>
      </c>
      <c r="H29" s="9" t="s">
        <v>81</v>
      </c>
      <c r="I29" s="10" t="n">
        <v>1626.4</v>
      </c>
      <c r="J29" s="10" t="n">
        <v>1520</v>
      </c>
      <c r="K29" s="11" t="n">
        <v>1160</v>
      </c>
      <c r="L29" s="12" t="n">
        <f aca="false">IFERROR(IF(N(J29)=0,"",(K29-J29)/J29),"")</f>
        <v>-0.236842105263158</v>
      </c>
      <c r="M29" s="13" t="s">
        <v>57</v>
      </c>
      <c r="N29" s="9" t="s">
        <v>86</v>
      </c>
      <c r="O29" s="9" t="s">
        <v>59</v>
      </c>
      <c r="P29" s="9" t="s">
        <v>13</v>
      </c>
    </row>
    <row r="30" customFormat="false" ht="15" hidden="false" customHeight="false" outlineLevel="0" collapsed="false">
      <c r="A30" s="9" t="s">
        <v>133</v>
      </c>
      <c r="B30" s="9" t="s">
        <v>134</v>
      </c>
      <c r="C30" s="9" t="n">
        <v>68</v>
      </c>
      <c r="D30" s="9" t="s">
        <v>54</v>
      </c>
      <c r="E30" s="9" t="s">
        <v>54</v>
      </c>
      <c r="F30" s="9" t="s">
        <v>55</v>
      </c>
      <c r="G30" s="9" t="n">
        <v>12000</v>
      </c>
      <c r="H30" s="9" t="s">
        <v>56</v>
      </c>
      <c r="I30" s="10" t="n">
        <v>585</v>
      </c>
      <c r="J30" s="10" t="n">
        <v>546.729</v>
      </c>
      <c r="K30" s="11" t="n">
        <v>481.3</v>
      </c>
      <c r="L30" s="12" t="n">
        <f aca="false">IFERROR(IF(N(J30)=0,"",(K30-J30)/J30),"")</f>
        <v>-0.119673549418451</v>
      </c>
      <c r="M30" s="13" t="s">
        <v>57</v>
      </c>
      <c r="N30" s="9" t="s">
        <v>135</v>
      </c>
      <c r="O30" s="9" t="s">
        <v>59</v>
      </c>
      <c r="P30" s="9" t="s">
        <v>13</v>
      </c>
    </row>
    <row r="31" customFormat="false" ht="15" hidden="false" customHeight="false" outlineLevel="0" collapsed="false">
      <c r="A31" s="9" t="s">
        <v>136</v>
      </c>
      <c r="B31" s="9" t="s">
        <v>137</v>
      </c>
      <c r="C31" s="9" t="n">
        <v>68</v>
      </c>
      <c r="D31" s="9" t="s">
        <v>54</v>
      </c>
      <c r="E31" s="9" t="s">
        <v>54</v>
      </c>
      <c r="F31" s="9" t="s">
        <v>62</v>
      </c>
      <c r="G31" s="9" t="n">
        <v>1000</v>
      </c>
      <c r="H31" s="9" t="s">
        <v>56</v>
      </c>
      <c r="I31" s="10" t="n">
        <v>105.61</v>
      </c>
      <c r="J31" s="10" t="n">
        <v>98.7009</v>
      </c>
      <c r="K31" s="11" t="n">
        <v>131.9</v>
      </c>
      <c r="L31" s="12" t="n">
        <f aca="false">IFERROR(IF(N(J31)=0,"",(K31-J31)/J31),"")</f>
        <v>0.336360661351619</v>
      </c>
      <c r="M31" s="13" t="s">
        <v>57</v>
      </c>
      <c r="N31" s="9" t="s">
        <v>138</v>
      </c>
      <c r="O31" s="9" t="s">
        <v>59</v>
      </c>
      <c r="P31" s="9" t="s">
        <v>13</v>
      </c>
    </row>
    <row r="32" customFormat="false" ht="15" hidden="false" customHeight="false" outlineLevel="0" collapsed="false">
      <c r="A32" s="9" t="s">
        <v>139</v>
      </c>
      <c r="B32" s="9" t="s">
        <v>140</v>
      </c>
      <c r="C32" s="9" t="n">
        <v>68</v>
      </c>
      <c r="D32" s="9" t="s">
        <v>54</v>
      </c>
      <c r="E32" s="9" t="s">
        <v>54</v>
      </c>
      <c r="F32" s="9" t="s">
        <v>55</v>
      </c>
      <c r="G32" s="9" t="n">
        <v>10</v>
      </c>
      <c r="H32" s="9" t="s">
        <v>141</v>
      </c>
      <c r="I32" s="10"/>
      <c r="J32" s="10"/>
      <c r="K32" s="11" t="n">
        <v>1790</v>
      </c>
      <c r="L32" s="12" t="str">
        <f aca="false">IFERROR(IF(N(J32)=0,"",(K32-J32)/J32),"")</f>
        <v/>
      </c>
      <c r="M32" s="9" t="s">
        <v>142</v>
      </c>
      <c r="N32" s="9" t="s">
        <v>143</v>
      </c>
      <c r="O32" s="9" t="s">
        <v>59</v>
      </c>
      <c r="P32" s="9" t="s">
        <v>13</v>
      </c>
    </row>
    <row r="33" customFormat="false" ht="15" hidden="false" customHeight="false" outlineLevel="0" collapsed="false">
      <c r="A33" s="9" t="s">
        <v>144</v>
      </c>
      <c r="B33" s="9" t="s">
        <v>145</v>
      </c>
      <c r="C33" s="9" t="n">
        <v>68</v>
      </c>
      <c r="D33" s="9" t="s">
        <v>54</v>
      </c>
      <c r="E33" s="9" t="s">
        <v>54</v>
      </c>
      <c r="F33" s="9" t="s">
        <v>55</v>
      </c>
      <c r="G33" s="9" t="n">
        <v>5</v>
      </c>
      <c r="H33" s="9" t="s">
        <v>141</v>
      </c>
      <c r="I33" s="10"/>
      <c r="J33" s="10"/>
      <c r="K33" s="11" t="n">
        <v>506</v>
      </c>
      <c r="L33" s="12" t="str">
        <f aca="false">IFERROR(IF(N(J33)=0,"",(K33-J33)/J33),"")</f>
        <v/>
      </c>
      <c r="M33" s="9" t="s">
        <v>142</v>
      </c>
      <c r="N33" s="9" t="s">
        <v>143</v>
      </c>
      <c r="O33" s="9" t="s">
        <v>59</v>
      </c>
      <c r="P33" s="9" t="s">
        <v>13</v>
      </c>
    </row>
    <row r="34" customFormat="false" ht="15" hidden="false" customHeight="false" outlineLevel="0" collapsed="false">
      <c r="A34" s="9" t="s">
        <v>146</v>
      </c>
      <c r="B34" s="9" t="s">
        <v>147</v>
      </c>
      <c r="C34" s="9" t="n">
        <v>68</v>
      </c>
      <c r="D34" s="9" t="s">
        <v>54</v>
      </c>
      <c r="E34" s="9" t="s">
        <v>54</v>
      </c>
      <c r="F34" s="9" t="s">
        <v>55</v>
      </c>
      <c r="G34" s="9" t="n">
        <v>12</v>
      </c>
      <c r="H34" s="9" t="s">
        <v>148</v>
      </c>
      <c r="I34" s="10"/>
      <c r="J34" s="10"/>
      <c r="K34" s="11" t="n">
        <v>1478</v>
      </c>
      <c r="L34" s="12" t="str">
        <f aca="false">IFERROR(IF(N(J34)=0,"",(K34-J34)/J34),"")</f>
        <v/>
      </c>
      <c r="M34" s="9" t="s">
        <v>142</v>
      </c>
      <c r="N34" s="9" t="s">
        <v>149</v>
      </c>
      <c r="O34" s="9" t="s">
        <v>59</v>
      </c>
      <c r="P34" s="9" t="s">
        <v>13</v>
      </c>
    </row>
    <row r="35" customFormat="false" ht="15" hidden="false" customHeight="false" outlineLevel="0" collapsed="false">
      <c r="A35" s="9" t="s">
        <v>150</v>
      </c>
      <c r="B35" s="9" t="s">
        <v>151</v>
      </c>
      <c r="C35" s="9" t="n">
        <v>68</v>
      </c>
      <c r="D35" s="9" t="s">
        <v>54</v>
      </c>
      <c r="E35" s="9" t="s">
        <v>54</v>
      </c>
      <c r="F35" s="9" t="s">
        <v>55</v>
      </c>
      <c r="G35" s="9" t="n">
        <v>12</v>
      </c>
      <c r="H35" s="9" t="s">
        <v>148</v>
      </c>
      <c r="I35" s="10"/>
      <c r="J35" s="10"/>
      <c r="K35" s="11" t="n">
        <v>1082.4</v>
      </c>
      <c r="L35" s="12" t="str">
        <f aca="false">IFERROR(IF(N(J35)=0,"",(K35-J35)/J35),"")</f>
        <v/>
      </c>
      <c r="M35" s="9" t="s">
        <v>142</v>
      </c>
      <c r="N35" s="9" t="s">
        <v>143</v>
      </c>
      <c r="O35" s="9" t="s">
        <v>59</v>
      </c>
      <c r="P35" s="9" t="s">
        <v>13</v>
      </c>
    </row>
    <row r="36" customFormat="false" ht="15" hidden="false" customHeight="false" outlineLevel="0" collapsed="false">
      <c r="A36" s="9" t="s">
        <v>152</v>
      </c>
      <c r="B36" s="9" t="s">
        <v>153</v>
      </c>
      <c r="C36" s="9" t="n">
        <v>68</v>
      </c>
      <c r="D36" s="9" t="s">
        <v>54</v>
      </c>
      <c r="E36" s="9" t="s">
        <v>54</v>
      </c>
      <c r="F36" s="9" t="s">
        <v>55</v>
      </c>
      <c r="G36" s="9" t="n">
        <v>20</v>
      </c>
      <c r="H36" s="9" t="s">
        <v>141</v>
      </c>
      <c r="I36" s="10"/>
      <c r="J36" s="10"/>
      <c r="K36" s="11" t="n">
        <v>2230</v>
      </c>
      <c r="L36" s="12" t="str">
        <f aca="false">IFERROR(IF(N(J36)=0,"",(K36-J36)/J36),"")</f>
        <v/>
      </c>
      <c r="M36" s="9" t="s">
        <v>142</v>
      </c>
      <c r="N36" s="9" t="s">
        <v>154</v>
      </c>
      <c r="O36" s="9" t="s">
        <v>59</v>
      </c>
      <c r="P36" s="9" t="s">
        <v>13</v>
      </c>
    </row>
    <row r="37" customFormat="false" ht="15" hidden="false" customHeight="false" outlineLevel="0" collapsed="false">
      <c r="A37" s="9" t="s">
        <v>155</v>
      </c>
      <c r="B37" s="9" t="s">
        <v>156</v>
      </c>
      <c r="C37" s="9" t="n">
        <v>68</v>
      </c>
      <c r="D37" s="9" t="s">
        <v>54</v>
      </c>
      <c r="E37" s="9" t="s">
        <v>54</v>
      </c>
      <c r="F37" s="9" t="s">
        <v>157</v>
      </c>
      <c r="G37" s="9" t="n">
        <v>2000</v>
      </c>
      <c r="H37" s="9" t="s">
        <v>130</v>
      </c>
      <c r="I37" s="10"/>
      <c r="J37" s="10"/>
      <c r="K37" s="11" t="n">
        <v>7000</v>
      </c>
      <c r="L37" s="12" t="str">
        <f aca="false">IFERROR(IF(N(J37)=0,"",(K37-J37)/J37),"")</f>
        <v/>
      </c>
      <c r="M37" s="9" t="s">
        <v>142</v>
      </c>
      <c r="N37" s="9" t="s">
        <v>158</v>
      </c>
      <c r="O37" s="9" t="s">
        <v>59</v>
      </c>
      <c r="P37" s="9" t="s">
        <v>13</v>
      </c>
    </row>
    <row r="38" customFormat="false" ht="15" hidden="false" customHeight="false" outlineLevel="0" collapsed="false">
      <c r="A38" s="9" t="s">
        <v>159</v>
      </c>
      <c r="B38" s="9" t="s">
        <v>160</v>
      </c>
      <c r="C38" s="9" t="n">
        <v>68</v>
      </c>
      <c r="D38" s="9" t="s">
        <v>54</v>
      </c>
      <c r="E38" s="9" t="s">
        <v>54</v>
      </c>
      <c r="F38" s="9" t="s">
        <v>106</v>
      </c>
      <c r="G38" s="9" t="n">
        <v>22.5</v>
      </c>
      <c r="H38" s="9" t="s">
        <v>141</v>
      </c>
      <c r="I38" s="10"/>
      <c r="J38" s="10"/>
      <c r="K38" s="11" t="n">
        <v>748.6</v>
      </c>
      <c r="L38" s="12" t="str">
        <f aca="false">IFERROR(IF(N(J38)=0,"",(K38-J38)/J38),"")</f>
        <v/>
      </c>
      <c r="M38" s="9" t="s">
        <v>142</v>
      </c>
      <c r="N38" s="9" t="s">
        <v>161</v>
      </c>
      <c r="O38" s="9" t="s">
        <v>59</v>
      </c>
      <c r="P38" s="9" t="s">
        <v>13</v>
      </c>
    </row>
    <row r="39" customFormat="false" ht="15" hidden="false" customHeight="false" outlineLevel="0" collapsed="false">
      <c r="A39" s="9" t="s">
        <v>162</v>
      </c>
      <c r="B39" s="9" t="s">
        <v>163</v>
      </c>
      <c r="C39" s="9" t="n">
        <v>68</v>
      </c>
      <c r="D39" s="9" t="s">
        <v>54</v>
      </c>
      <c r="E39" s="9" t="s">
        <v>54</v>
      </c>
      <c r="F39" s="9" t="s">
        <v>62</v>
      </c>
      <c r="G39" s="9" t="n">
        <v>15</v>
      </c>
      <c r="H39" s="9" t="s">
        <v>141</v>
      </c>
      <c r="I39" s="10"/>
      <c r="J39" s="10"/>
      <c r="K39" s="11" t="n">
        <v>1200</v>
      </c>
      <c r="L39" s="12" t="str">
        <f aca="false">IFERROR(IF(N(J39)=0,"",(K39-J39)/J39),"")</f>
        <v/>
      </c>
      <c r="M39" s="9" t="s">
        <v>142</v>
      </c>
      <c r="N39" s="9" t="s">
        <v>164</v>
      </c>
      <c r="O39" s="9" t="s">
        <v>59</v>
      </c>
      <c r="P39" s="9" t="s">
        <v>13</v>
      </c>
    </row>
    <row r="40" customFormat="false" ht="15" hidden="false" customHeight="false" outlineLevel="0" collapsed="false">
      <c r="A40" s="9" t="s">
        <v>165</v>
      </c>
      <c r="B40" s="9" t="s">
        <v>166</v>
      </c>
      <c r="C40" s="9" t="n">
        <v>68</v>
      </c>
      <c r="D40" s="9" t="s">
        <v>54</v>
      </c>
      <c r="E40" s="9" t="s">
        <v>54</v>
      </c>
      <c r="F40" s="9" t="s">
        <v>85</v>
      </c>
      <c r="G40" s="9" t="n">
        <v>1</v>
      </c>
      <c r="H40" s="9" t="s">
        <v>141</v>
      </c>
      <c r="I40" s="10"/>
      <c r="J40" s="10"/>
      <c r="K40" s="11" t="n">
        <v>350</v>
      </c>
      <c r="L40" s="12" t="str">
        <f aca="false">IFERROR(IF(N(J40)=0,"",(K40-J40)/J40),"")</f>
        <v/>
      </c>
      <c r="M40" s="9" t="s">
        <v>142</v>
      </c>
      <c r="N40" s="9" t="s">
        <v>164</v>
      </c>
      <c r="O40" s="9" t="s">
        <v>59</v>
      </c>
      <c r="P40" s="9" t="s">
        <v>13</v>
      </c>
    </row>
    <row r="41" customFormat="false" ht="15" hidden="false" customHeight="false" outlineLevel="0" collapsed="false">
      <c r="A41" s="9" t="s">
        <v>167</v>
      </c>
      <c r="B41" s="9" t="s">
        <v>168</v>
      </c>
      <c r="C41" s="9" t="n">
        <v>68</v>
      </c>
      <c r="D41" s="9" t="s">
        <v>54</v>
      </c>
      <c r="E41" s="9" t="s">
        <v>54</v>
      </c>
      <c r="F41" s="9" t="s">
        <v>62</v>
      </c>
      <c r="G41" s="9" t="n">
        <v>10</v>
      </c>
      <c r="H41" s="9" t="s">
        <v>141</v>
      </c>
      <c r="I41" s="10"/>
      <c r="J41" s="10"/>
      <c r="K41" s="11" t="n">
        <v>1500</v>
      </c>
      <c r="L41" s="12" t="str">
        <f aca="false">IFERROR(IF(N(J41)=0,"",(K41-J41)/J41),"")</f>
        <v/>
      </c>
      <c r="M41" s="9" t="s">
        <v>142</v>
      </c>
      <c r="N41" s="9" t="s">
        <v>164</v>
      </c>
      <c r="O41" s="9" t="s">
        <v>59</v>
      </c>
      <c r="P41" s="9" t="s">
        <v>13</v>
      </c>
    </row>
    <row r="42" customFormat="false" ht="15" hidden="false" customHeight="false" outlineLevel="0" collapsed="false">
      <c r="A42" s="9" t="s">
        <v>169</v>
      </c>
      <c r="B42" s="9" t="s">
        <v>170</v>
      </c>
      <c r="C42" s="9" t="n">
        <v>68</v>
      </c>
      <c r="D42" s="9" t="s">
        <v>54</v>
      </c>
      <c r="E42" s="9" t="s">
        <v>54</v>
      </c>
      <c r="F42" s="9" t="s">
        <v>85</v>
      </c>
      <c r="G42" s="9" t="n">
        <v>1</v>
      </c>
      <c r="H42" s="9" t="s">
        <v>141</v>
      </c>
      <c r="I42" s="10"/>
      <c r="J42" s="10"/>
      <c r="K42" s="11" t="n">
        <v>650</v>
      </c>
      <c r="L42" s="12" t="str">
        <f aca="false">IFERROR(IF(N(J42)=0,"",(K42-J42)/J42),"")</f>
        <v/>
      </c>
      <c r="M42" s="9" t="s">
        <v>142</v>
      </c>
      <c r="N42" s="9" t="s">
        <v>164</v>
      </c>
      <c r="O42" s="9" t="s">
        <v>59</v>
      </c>
      <c r="P42" s="9" t="s">
        <v>13</v>
      </c>
    </row>
    <row r="43" customFormat="false" ht="15" hidden="false" customHeight="false" outlineLevel="0" collapsed="false">
      <c r="A43" s="9" t="s">
        <v>171</v>
      </c>
      <c r="B43" s="9" t="s">
        <v>172</v>
      </c>
      <c r="C43" s="9" t="n">
        <v>68</v>
      </c>
      <c r="D43" s="9" t="s">
        <v>54</v>
      </c>
      <c r="E43" s="9" t="s">
        <v>54</v>
      </c>
      <c r="F43" s="9" t="s">
        <v>85</v>
      </c>
      <c r="G43" s="9" t="n">
        <v>1</v>
      </c>
      <c r="H43" s="9" t="s">
        <v>141</v>
      </c>
      <c r="I43" s="10"/>
      <c r="J43" s="10"/>
      <c r="K43" s="11" t="n">
        <v>1100</v>
      </c>
      <c r="L43" s="12" t="str">
        <f aca="false">IFERROR(IF(N(J43)=0,"",(K43-J43)/J43),"")</f>
        <v/>
      </c>
      <c r="M43" s="9" t="s">
        <v>142</v>
      </c>
      <c r="N43" s="9" t="s">
        <v>164</v>
      </c>
      <c r="O43" s="9" t="s">
        <v>59</v>
      </c>
      <c r="P43" s="9" t="s">
        <v>13</v>
      </c>
    </row>
    <row r="44" customFormat="false" ht="15" hidden="false" customHeight="false" outlineLevel="0" collapsed="false">
      <c r="A44" s="9" t="s">
        <v>173</v>
      </c>
      <c r="B44" s="9" t="s">
        <v>174</v>
      </c>
      <c r="C44" s="9" t="n">
        <v>68</v>
      </c>
      <c r="D44" s="9" t="s">
        <v>54</v>
      </c>
      <c r="E44" s="9" t="s">
        <v>54</v>
      </c>
      <c r="F44" s="9" t="s">
        <v>175</v>
      </c>
      <c r="G44" s="9" t="n">
        <v>0.8</v>
      </c>
      <c r="H44" s="9" t="s">
        <v>141</v>
      </c>
      <c r="I44" s="10"/>
      <c r="J44" s="10"/>
      <c r="K44" s="11" t="n">
        <v>140</v>
      </c>
      <c r="L44" s="12" t="str">
        <f aca="false">IFERROR(IF(N(J44)=0,"",(K44-J44)/J44),"")</f>
        <v/>
      </c>
      <c r="M44" s="9" t="s">
        <v>142</v>
      </c>
      <c r="N44" s="9" t="s">
        <v>164</v>
      </c>
      <c r="O44" s="9" t="s">
        <v>59</v>
      </c>
      <c r="P44" s="9" t="s">
        <v>13</v>
      </c>
    </row>
    <row r="45" customFormat="false" ht="15" hidden="false" customHeight="false" outlineLevel="0" collapsed="false">
      <c r="A45" s="9" t="s">
        <v>176</v>
      </c>
      <c r="B45" s="9" t="s">
        <v>177</v>
      </c>
      <c r="C45" s="9" t="n">
        <v>68</v>
      </c>
      <c r="D45" s="9" t="s">
        <v>54</v>
      </c>
      <c r="E45" s="9" t="s">
        <v>54</v>
      </c>
      <c r="F45" s="9" t="s">
        <v>85</v>
      </c>
      <c r="G45" s="9" t="n">
        <v>15</v>
      </c>
      <c r="H45" s="9" t="s">
        <v>141</v>
      </c>
      <c r="I45" s="10"/>
      <c r="J45" s="10"/>
      <c r="K45" s="11" t="n">
        <v>1215</v>
      </c>
      <c r="L45" s="12" t="str">
        <f aca="false">IFERROR(IF(N(J45)=0,"",(K45-J45)/J45),"")</f>
        <v/>
      </c>
      <c r="M45" s="9" t="s">
        <v>142</v>
      </c>
      <c r="N45" s="9" t="s">
        <v>178</v>
      </c>
      <c r="O45" s="9" t="s">
        <v>59</v>
      </c>
      <c r="P45" s="9" t="s">
        <v>13</v>
      </c>
    </row>
    <row r="46" customFormat="false" ht="15" hidden="false" customHeight="false" outlineLevel="0" collapsed="false">
      <c r="A46" s="9" t="s">
        <v>179</v>
      </c>
      <c r="B46" s="9" t="s">
        <v>180</v>
      </c>
      <c r="C46" s="9" t="n">
        <v>68</v>
      </c>
      <c r="D46" s="9" t="s">
        <v>54</v>
      </c>
      <c r="E46" s="9" t="s">
        <v>54</v>
      </c>
      <c r="F46" s="9" t="s">
        <v>55</v>
      </c>
      <c r="G46" s="9" t="n">
        <v>3000</v>
      </c>
      <c r="H46" s="9" t="s">
        <v>130</v>
      </c>
      <c r="I46" s="10"/>
      <c r="J46" s="10"/>
      <c r="K46" s="11" t="n">
        <v>6000</v>
      </c>
      <c r="L46" s="12" t="str">
        <f aca="false">IFERROR(IF(N(J46)=0,"",(K46-J46)/J46),"")</f>
        <v/>
      </c>
      <c r="M46" s="9" t="s">
        <v>142</v>
      </c>
      <c r="N46" s="9" t="s">
        <v>181</v>
      </c>
      <c r="O46" s="9" t="s">
        <v>59</v>
      </c>
      <c r="P46" s="9" t="s">
        <v>13</v>
      </c>
    </row>
    <row r="47" customFormat="false" ht="15" hidden="false" customHeight="false" outlineLevel="0" collapsed="false">
      <c r="A47" s="9" t="s">
        <v>182</v>
      </c>
      <c r="B47" s="9" t="s">
        <v>183</v>
      </c>
      <c r="C47" s="9" t="n">
        <v>68</v>
      </c>
      <c r="D47" s="9" t="s">
        <v>54</v>
      </c>
      <c r="E47" s="9" t="s">
        <v>54</v>
      </c>
      <c r="F47" s="9" t="s">
        <v>55</v>
      </c>
      <c r="G47" s="9" t="n">
        <v>5000</v>
      </c>
      <c r="H47" s="9" t="s">
        <v>130</v>
      </c>
      <c r="I47" s="10"/>
      <c r="J47" s="10"/>
      <c r="K47" s="11" t="n">
        <v>8750</v>
      </c>
      <c r="L47" s="12" t="str">
        <f aca="false">IFERROR(IF(N(J47)=0,"",(K47-J47)/J47),"")</f>
        <v/>
      </c>
      <c r="M47" s="9" t="s">
        <v>142</v>
      </c>
      <c r="N47" s="9" t="s">
        <v>181</v>
      </c>
      <c r="O47" s="9" t="s">
        <v>59</v>
      </c>
      <c r="P47" s="9" t="s">
        <v>13</v>
      </c>
    </row>
    <row r="48" customFormat="false" ht="15" hidden="false" customHeight="false" outlineLevel="0" collapsed="false">
      <c r="A48" s="9" t="s">
        <v>184</v>
      </c>
      <c r="B48" s="9" t="s">
        <v>185</v>
      </c>
      <c r="C48" s="9" t="n">
        <v>68</v>
      </c>
      <c r="D48" s="9" t="s">
        <v>54</v>
      </c>
      <c r="E48" s="9" t="s">
        <v>54</v>
      </c>
      <c r="F48" s="9" t="s">
        <v>55</v>
      </c>
      <c r="G48" s="9" t="n">
        <v>5000</v>
      </c>
      <c r="H48" s="9" t="s">
        <v>130</v>
      </c>
      <c r="I48" s="10"/>
      <c r="J48" s="10"/>
      <c r="K48" s="11" t="n">
        <v>8750</v>
      </c>
      <c r="L48" s="12" t="str">
        <f aca="false">IFERROR(IF(N(J48)=0,"",(K48-J48)/J48),"")</f>
        <v/>
      </c>
      <c r="M48" s="9" t="s">
        <v>142</v>
      </c>
      <c r="N48" s="9" t="s">
        <v>181</v>
      </c>
      <c r="O48" s="9" t="s">
        <v>59</v>
      </c>
      <c r="P48" s="9" t="s">
        <v>13</v>
      </c>
    </row>
    <row r="49" customFormat="false" ht="15" hidden="false" customHeight="false" outlineLevel="0" collapsed="false">
      <c r="A49" s="9" t="s">
        <v>186</v>
      </c>
      <c r="B49" s="9" t="s">
        <v>187</v>
      </c>
      <c r="C49" s="9" t="n">
        <v>68</v>
      </c>
      <c r="D49" s="9" t="s">
        <v>54</v>
      </c>
      <c r="E49" s="9" t="s">
        <v>54</v>
      </c>
      <c r="F49" s="9" t="s">
        <v>55</v>
      </c>
      <c r="G49" s="9" t="n">
        <v>15</v>
      </c>
      <c r="H49" s="9" t="s">
        <v>141</v>
      </c>
      <c r="I49" s="10"/>
      <c r="J49" s="10"/>
      <c r="K49" s="11" t="n">
        <v>960</v>
      </c>
      <c r="L49" s="12" t="str">
        <f aca="false">IFERROR(IF(N(J49)=0,"",(K49-J49)/J49),"")</f>
        <v/>
      </c>
      <c r="M49" s="9" t="s">
        <v>142</v>
      </c>
      <c r="N49" s="9" t="s">
        <v>188</v>
      </c>
      <c r="O49" s="9" t="s">
        <v>59</v>
      </c>
      <c r="P49" s="9" t="s">
        <v>13</v>
      </c>
    </row>
    <row r="50" customFormat="false" ht="15" hidden="false" customHeight="false" outlineLevel="0" collapsed="false">
      <c r="A50" s="9" t="s">
        <v>189</v>
      </c>
      <c r="B50" s="9" t="s">
        <v>190</v>
      </c>
      <c r="C50" s="9" t="n">
        <v>68</v>
      </c>
      <c r="D50" s="9" t="s">
        <v>54</v>
      </c>
      <c r="E50" s="9" t="s">
        <v>54</v>
      </c>
      <c r="F50" s="9" t="s">
        <v>85</v>
      </c>
      <c r="G50" s="9" t="n">
        <v>48</v>
      </c>
      <c r="H50" s="9" t="s">
        <v>81</v>
      </c>
      <c r="I50" s="10"/>
      <c r="J50" s="10"/>
      <c r="K50" s="11" t="n">
        <v>327.36</v>
      </c>
      <c r="L50" s="12" t="str">
        <f aca="false">IFERROR(IF(N(J50)=0,"",(K50-J50)/J50),"")</f>
        <v/>
      </c>
      <c r="M50" s="9" t="s">
        <v>142</v>
      </c>
      <c r="N50" s="9" t="s">
        <v>100</v>
      </c>
      <c r="O50" s="9" t="s">
        <v>59</v>
      </c>
      <c r="P50" s="9" t="s">
        <v>13</v>
      </c>
    </row>
    <row r="51" customFormat="false" ht="15" hidden="false" customHeight="false" outlineLevel="0" collapsed="false">
      <c r="A51" s="9" t="s">
        <v>191</v>
      </c>
      <c r="B51" s="9" t="s">
        <v>192</v>
      </c>
      <c r="C51" s="9" t="n">
        <v>68</v>
      </c>
      <c r="D51" s="9" t="s">
        <v>54</v>
      </c>
      <c r="E51" s="9" t="s">
        <v>54</v>
      </c>
      <c r="F51" s="9" t="s">
        <v>85</v>
      </c>
      <c r="G51" s="9" t="n">
        <v>48</v>
      </c>
      <c r="H51" s="9" t="s">
        <v>81</v>
      </c>
      <c r="I51" s="10"/>
      <c r="J51" s="10"/>
      <c r="K51" s="11" t="n">
        <v>327.36</v>
      </c>
      <c r="L51" s="12" t="str">
        <f aca="false">IFERROR(IF(N(J51)=0,"",(K51-J51)/J51),"")</f>
        <v/>
      </c>
      <c r="M51" s="9" t="s">
        <v>142</v>
      </c>
      <c r="N51" s="9" t="s">
        <v>100</v>
      </c>
      <c r="O51" s="9" t="s">
        <v>59</v>
      </c>
      <c r="P51" s="9" t="s">
        <v>13</v>
      </c>
    </row>
    <row r="52" customFormat="false" ht="15" hidden="false" customHeight="false" outlineLevel="0" collapsed="false">
      <c r="A52" s="9" t="s">
        <v>193</v>
      </c>
      <c r="B52" s="9" t="s">
        <v>194</v>
      </c>
      <c r="C52" s="9" t="n">
        <v>68</v>
      </c>
      <c r="D52" s="9" t="s">
        <v>54</v>
      </c>
      <c r="E52" s="9" t="s">
        <v>54</v>
      </c>
      <c r="F52" s="9" t="s">
        <v>85</v>
      </c>
      <c r="G52" s="9" t="n">
        <v>48</v>
      </c>
      <c r="H52" s="9" t="s">
        <v>81</v>
      </c>
      <c r="I52" s="10"/>
      <c r="J52" s="10"/>
      <c r="K52" s="11" t="n">
        <v>297.6</v>
      </c>
      <c r="L52" s="12" t="str">
        <f aca="false">IFERROR(IF(N(J52)=0,"",(K52-J52)/J52),"")</f>
        <v/>
      </c>
      <c r="M52" s="9" t="s">
        <v>142</v>
      </c>
      <c r="N52" s="9" t="s">
        <v>100</v>
      </c>
      <c r="O52" s="9" t="s">
        <v>59</v>
      </c>
      <c r="P52" s="9" t="s">
        <v>13</v>
      </c>
    </row>
    <row r="53" customFormat="false" ht="15" hidden="false" customHeight="false" outlineLevel="0" collapsed="false">
      <c r="A53" s="9" t="s">
        <v>195</v>
      </c>
      <c r="B53" s="9" t="s">
        <v>196</v>
      </c>
      <c r="C53" s="9" t="n">
        <v>68</v>
      </c>
      <c r="D53" s="9" t="s">
        <v>54</v>
      </c>
      <c r="E53" s="9" t="s">
        <v>54</v>
      </c>
      <c r="F53" s="9" t="s">
        <v>106</v>
      </c>
      <c r="G53" s="9" t="n">
        <v>10</v>
      </c>
      <c r="H53" s="9" t="s">
        <v>141</v>
      </c>
      <c r="I53" s="10"/>
      <c r="J53" s="10"/>
      <c r="K53" s="11" t="n">
        <v>1920</v>
      </c>
      <c r="L53" s="12" t="str">
        <f aca="false">IFERROR(IF(N(J53)=0,"",(K53-J53)/J53),"")</f>
        <v/>
      </c>
      <c r="M53" s="9" t="s">
        <v>142</v>
      </c>
      <c r="N53" s="9" t="s">
        <v>78</v>
      </c>
      <c r="O53" s="9" t="s">
        <v>59</v>
      </c>
      <c r="P53" s="9" t="s">
        <v>13</v>
      </c>
    </row>
    <row r="54" customFormat="false" ht="15" hidden="false" customHeight="false" outlineLevel="0" collapsed="false">
      <c r="A54" s="9" t="s">
        <v>197</v>
      </c>
      <c r="B54" s="9" t="s">
        <v>198</v>
      </c>
      <c r="C54" s="9" t="n">
        <v>68</v>
      </c>
      <c r="D54" s="9" t="s">
        <v>54</v>
      </c>
      <c r="E54" s="9" t="s">
        <v>54</v>
      </c>
      <c r="F54" s="9" t="s">
        <v>55</v>
      </c>
      <c r="G54" s="9" t="n">
        <v>2</v>
      </c>
      <c r="H54" s="9" t="s">
        <v>141</v>
      </c>
      <c r="I54" s="10"/>
      <c r="J54" s="10"/>
      <c r="K54" s="11" t="n">
        <v>280</v>
      </c>
      <c r="L54" s="12" t="str">
        <f aca="false">IFERROR(IF(N(J54)=0,"",(K54-J54)/J54),"")</f>
        <v/>
      </c>
      <c r="M54" s="9" t="s">
        <v>142</v>
      </c>
      <c r="N54" s="9" t="s">
        <v>78</v>
      </c>
      <c r="O54" s="9" t="s">
        <v>59</v>
      </c>
      <c r="P54" s="9" t="s">
        <v>13</v>
      </c>
    </row>
    <row r="55" customFormat="false" ht="15" hidden="false" customHeight="false" outlineLevel="0" collapsed="false">
      <c r="A55" s="9" t="s">
        <v>199</v>
      </c>
      <c r="B55" s="9" t="s">
        <v>200</v>
      </c>
      <c r="C55" s="9" t="s">
        <v>70</v>
      </c>
      <c r="D55" s="9" t="s">
        <v>54</v>
      </c>
      <c r="E55" s="9" t="s">
        <v>54</v>
      </c>
      <c r="F55" s="9" t="s">
        <v>62</v>
      </c>
      <c r="G55" s="9" t="n">
        <v>1000</v>
      </c>
      <c r="H55" s="9" t="s">
        <v>56</v>
      </c>
      <c r="I55" s="10" t="n">
        <v>80.04</v>
      </c>
      <c r="J55" s="10" t="n">
        <v>74.8037</v>
      </c>
      <c r="K55" s="11"/>
      <c r="L55" s="12" t="n">
        <f aca="false">IFERROR(IF(N(J55)=0,"",(K55-J55)/J55),"")</f>
        <v>-1</v>
      </c>
      <c r="M55" s="14" t="s">
        <v>201</v>
      </c>
      <c r="N55" s="9" t="s">
        <v>202</v>
      </c>
      <c r="O55" s="9" t="s">
        <v>59</v>
      </c>
      <c r="P55" s="9" t="s">
        <v>13</v>
      </c>
    </row>
    <row r="56" customFormat="false" ht="15" hidden="false" customHeight="false" outlineLevel="0" collapsed="false">
      <c r="A56" s="9" t="s">
        <v>203</v>
      </c>
      <c r="B56" s="9" t="s">
        <v>204</v>
      </c>
      <c r="C56" s="9" t="s">
        <v>70</v>
      </c>
      <c r="D56" s="9" t="s">
        <v>54</v>
      </c>
      <c r="E56" s="9" t="s">
        <v>54</v>
      </c>
      <c r="F56" s="9" t="s">
        <v>62</v>
      </c>
      <c r="G56" s="9" t="n">
        <v>1000</v>
      </c>
      <c r="H56" s="9" t="s">
        <v>56</v>
      </c>
      <c r="I56" s="10" t="n">
        <v>43.99</v>
      </c>
      <c r="J56" s="10" t="n">
        <v>41.1121</v>
      </c>
      <c r="K56" s="11"/>
      <c r="L56" s="12" t="n">
        <f aca="false">IFERROR(IF(N(J56)=0,"",(K56-J56)/J56),"")</f>
        <v>-1</v>
      </c>
      <c r="M56" s="14" t="s">
        <v>201</v>
      </c>
      <c r="N56" s="9" t="s">
        <v>202</v>
      </c>
      <c r="O56" s="9" t="s">
        <v>59</v>
      </c>
      <c r="P56" s="9" t="s">
        <v>13</v>
      </c>
    </row>
    <row r="57" customFormat="false" ht="15" hidden="false" customHeight="false" outlineLevel="0" collapsed="false">
      <c r="A57" s="9" t="s">
        <v>205</v>
      </c>
      <c r="B57" s="9" t="s">
        <v>206</v>
      </c>
      <c r="C57" s="9" t="s">
        <v>70</v>
      </c>
      <c r="D57" s="9" t="s">
        <v>54</v>
      </c>
      <c r="E57" s="9" t="s">
        <v>54</v>
      </c>
      <c r="F57" s="9" t="s">
        <v>207</v>
      </c>
      <c r="G57" s="9" t="n">
        <v>30</v>
      </c>
      <c r="H57" s="9" t="s">
        <v>208</v>
      </c>
      <c r="I57" s="10" t="n">
        <v>129.47</v>
      </c>
      <c r="J57" s="10" t="n">
        <v>121</v>
      </c>
      <c r="K57" s="11"/>
      <c r="L57" s="12" t="n">
        <f aca="false">IFERROR(IF(N(J57)=0,"",(K57-J57)/J57),"")</f>
        <v>-1</v>
      </c>
      <c r="M57" s="14" t="s">
        <v>201</v>
      </c>
      <c r="N57" s="9" t="s">
        <v>202</v>
      </c>
      <c r="O57" s="9" t="s">
        <v>59</v>
      </c>
      <c r="P57" s="9" t="s">
        <v>13</v>
      </c>
    </row>
    <row r="58" customFormat="false" ht="15" hidden="false" customHeight="false" outlineLevel="0" collapsed="false">
      <c r="A58" s="9" t="s">
        <v>209</v>
      </c>
      <c r="B58" s="9" t="s">
        <v>210</v>
      </c>
      <c r="C58" s="9" t="s">
        <v>70</v>
      </c>
      <c r="D58" s="9" t="s">
        <v>54</v>
      </c>
      <c r="E58" s="9" t="s">
        <v>54</v>
      </c>
      <c r="F58" s="9" t="s">
        <v>62</v>
      </c>
      <c r="G58" s="9" t="n">
        <v>900</v>
      </c>
      <c r="H58" s="9" t="s">
        <v>56</v>
      </c>
      <c r="I58" s="10" t="n">
        <v>37.05</v>
      </c>
      <c r="J58" s="10" t="n">
        <v>34.6262</v>
      </c>
      <c r="K58" s="11"/>
      <c r="L58" s="12" t="n">
        <f aca="false">IFERROR(IF(N(J58)=0,"",(K58-J58)/J58),"")</f>
        <v>-1</v>
      </c>
      <c r="M58" s="14" t="s">
        <v>201</v>
      </c>
      <c r="N58" s="9" t="s">
        <v>211</v>
      </c>
      <c r="O58" s="9" t="s">
        <v>87</v>
      </c>
      <c r="P58" s="9" t="s">
        <v>13</v>
      </c>
    </row>
    <row r="59" customFormat="false" ht="15" hidden="false" customHeight="false" outlineLevel="0" collapsed="false">
      <c r="A59" s="9" t="s">
        <v>212</v>
      </c>
      <c r="B59" s="9" t="s">
        <v>213</v>
      </c>
      <c r="C59" s="9" t="s">
        <v>70</v>
      </c>
      <c r="D59" s="9" t="s">
        <v>54</v>
      </c>
      <c r="E59" s="9" t="s">
        <v>54</v>
      </c>
      <c r="F59" s="9" t="s">
        <v>106</v>
      </c>
      <c r="G59" s="9" t="n">
        <v>5000</v>
      </c>
      <c r="H59" s="9" t="s">
        <v>56</v>
      </c>
      <c r="I59" s="10" t="n">
        <v>32.1</v>
      </c>
      <c r="J59" s="10" t="n">
        <v>30</v>
      </c>
      <c r="K59" s="11"/>
      <c r="L59" s="12" t="n">
        <f aca="false">IFERROR(IF(N(J59)=0,"",(K59-J59)/J59),"")</f>
        <v>-1</v>
      </c>
      <c r="M59" s="14" t="s">
        <v>201</v>
      </c>
      <c r="N59" s="9" t="s">
        <v>211</v>
      </c>
      <c r="O59" s="9" t="s">
        <v>87</v>
      </c>
      <c r="P59" s="9" t="s">
        <v>13</v>
      </c>
    </row>
    <row r="60" customFormat="false" ht="15" hidden="false" customHeight="false" outlineLevel="0" collapsed="false">
      <c r="A60" s="9" t="s">
        <v>214</v>
      </c>
      <c r="B60" s="9" t="s">
        <v>215</v>
      </c>
      <c r="C60" s="9" t="s">
        <v>70</v>
      </c>
      <c r="D60" s="9" t="s">
        <v>54</v>
      </c>
      <c r="E60" s="9" t="s">
        <v>54</v>
      </c>
      <c r="F60" s="9" t="s">
        <v>55</v>
      </c>
      <c r="G60" s="9" t="n">
        <v>12</v>
      </c>
      <c r="H60" s="9" t="s">
        <v>85</v>
      </c>
      <c r="I60" s="10" t="n">
        <v>673.85</v>
      </c>
      <c r="J60" s="10" t="n">
        <v>629.7664</v>
      </c>
      <c r="K60" s="11"/>
      <c r="L60" s="12" t="n">
        <f aca="false">IFERROR(IF(N(J60)=0,"",(K60-J60)/J60),"")</f>
        <v>-1</v>
      </c>
      <c r="M60" s="14" t="s">
        <v>201</v>
      </c>
      <c r="N60" s="9" t="s">
        <v>202</v>
      </c>
      <c r="O60" s="9" t="s">
        <v>59</v>
      </c>
      <c r="P60" s="9" t="s">
        <v>13</v>
      </c>
    </row>
    <row r="61" customFormat="false" ht="15" hidden="false" customHeight="false" outlineLevel="0" collapsed="false">
      <c r="A61" s="9" t="s">
        <v>216</v>
      </c>
      <c r="B61" s="9" t="s">
        <v>217</v>
      </c>
      <c r="C61" s="9" t="s">
        <v>70</v>
      </c>
      <c r="D61" s="9" t="s">
        <v>54</v>
      </c>
      <c r="E61" s="9" t="s">
        <v>54</v>
      </c>
      <c r="F61" s="9" t="s">
        <v>74</v>
      </c>
      <c r="G61" s="9" t="n">
        <v>980</v>
      </c>
      <c r="H61" s="9" t="s">
        <v>56</v>
      </c>
      <c r="I61" s="10" t="n">
        <v>261.81</v>
      </c>
      <c r="J61" s="10" t="n">
        <v>244.6822</v>
      </c>
      <c r="K61" s="11"/>
      <c r="L61" s="12" t="n">
        <f aca="false">IFERROR(IF(N(J61)=0,"",(K61-J61)/J61),"")</f>
        <v>-1</v>
      </c>
      <c r="M61" s="14" t="s">
        <v>201</v>
      </c>
      <c r="N61" s="9" t="s">
        <v>202</v>
      </c>
      <c r="O61" s="9" t="s">
        <v>59</v>
      </c>
      <c r="P61" s="9" t="s">
        <v>13</v>
      </c>
    </row>
    <row r="62" customFormat="false" ht="15" hidden="false" customHeight="false" outlineLevel="0" collapsed="false">
      <c r="A62" s="9" t="s">
        <v>218</v>
      </c>
      <c r="B62" s="9" t="s">
        <v>219</v>
      </c>
      <c r="C62" s="9" t="s">
        <v>70</v>
      </c>
      <c r="D62" s="9" t="s">
        <v>54</v>
      </c>
      <c r="E62" s="9" t="s">
        <v>54</v>
      </c>
      <c r="F62" s="9" t="s">
        <v>62</v>
      </c>
      <c r="G62" s="9" t="n">
        <v>1000</v>
      </c>
      <c r="H62" s="9" t="s">
        <v>56</v>
      </c>
      <c r="I62" s="10" t="n">
        <v>27.22</v>
      </c>
      <c r="J62" s="10" t="n">
        <v>25.4393</v>
      </c>
      <c r="K62" s="11"/>
      <c r="L62" s="12" t="n">
        <f aca="false">IFERROR(IF(N(J62)=0,"",(K62-J62)/J62),"")</f>
        <v>-1</v>
      </c>
      <c r="M62" s="14" t="s">
        <v>201</v>
      </c>
      <c r="N62" s="9" t="s">
        <v>202</v>
      </c>
      <c r="O62" s="9" t="s">
        <v>59</v>
      </c>
      <c r="P62" s="9" t="s">
        <v>13</v>
      </c>
    </row>
    <row r="63" customFormat="false" ht="15" hidden="false" customHeight="false" outlineLevel="0" collapsed="false">
      <c r="A63" s="9" t="s">
        <v>220</v>
      </c>
      <c r="B63" s="9" t="s">
        <v>221</v>
      </c>
      <c r="C63" s="9" t="s">
        <v>70</v>
      </c>
      <c r="D63" s="9" t="s">
        <v>54</v>
      </c>
      <c r="E63" s="9" t="s">
        <v>54</v>
      </c>
      <c r="F63" s="9" t="s">
        <v>81</v>
      </c>
      <c r="G63" s="9" t="n">
        <v>4500</v>
      </c>
      <c r="H63" s="9" t="s">
        <v>56</v>
      </c>
      <c r="I63" s="10" t="n">
        <v>56.81</v>
      </c>
      <c r="J63" s="10" t="n">
        <v>53.0935</v>
      </c>
      <c r="K63" s="11"/>
      <c r="L63" s="12" t="n">
        <f aca="false">IFERROR(IF(N(J63)=0,"",(K63-J63)/J63),"")</f>
        <v>-1</v>
      </c>
      <c r="M63" s="14" t="s">
        <v>201</v>
      </c>
      <c r="N63" s="9" t="s">
        <v>211</v>
      </c>
      <c r="O63" s="9" t="s">
        <v>87</v>
      </c>
      <c r="P63" s="9" t="s">
        <v>13</v>
      </c>
    </row>
    <row r="64" customFormat="false" ht="15" hidden="false" customHeight="false" outlineLevel="0" collapsed="false">
      <c r="A64" s="9" t="s">
        <v>222</v>
      </c>
      <c r="B64" s="9" t="s">
        <v>223</v>
      </c>
      <c r="C64" s="9" t="n">
        <v>68</v>
      </c>
      <c r="D64" s="9" t="s">
        <v>54</v>
      </c>
      <c r="E64" s="9" t="s">
        <v>54</v>
      </c>
      <c r="F64" s="9" t="s">
        <v>85</v>
      </c>
      <c r="G64" s="9" t="n">
        <v>1000</v>
      </c>
      <c r="H64" s="9" t="s">
        <v>56</v>
      </c>
      <c r="I64" s="10" t="n">
        <v>96.51</v>
      </c>
      <c r="J64" s="10" t="n">
        <v>90.1963</v>
      </c>
      <c r="K64" s="11" t="n">
        <v>90.2</v>
      </c>
      <c r="L64" s="12" t="n">
        <f aca="false">IFERROR(IF(N(J64)=0,"",(K64-J64)/J64),"")</f>
        <v>4.10216383599897E-005</v>
      </c>
      <c r="M64" s="9" t="s">
        <v>224</v>
      </c>
      <c r="N64" s="9" t="s">
        <v>143</v>
      </c>
      <c r="O64" s="9" t="s">
        <v>59</v>
      </c>
      <c r="P64" s="9" t="s">
        <v>13</v>
      </c>
    </row>
    <row r="65" customFormat="false" ht="15" hidden="false" customHeight="false" outlineLevel="0" collapsed="false">
      <c r="A65" s="9" t="s">
        <v>225</v>
      </c>
      <c r="B65" s="9" t="s">
        <v>226</v>
      </c>
      <c r="C65" s="9" t="n">
        <v>68</v>
      </c>
      <c r="D65" s="9" t="s">
        <v>54</v>
      </c>
      <c r="E65" s="9" t="s">
        <v>54</v>
      </c>
      <c r="F65" s="9" t="s">
        <v>55</v>
      </c>
      <c r="G65" s="9" t="n">
        <v>50</v>
      </c>
      <c r="H65" s="9" t="s">
        <v>81</v>
      </c>
      <c r="I65" s="10" t="n">
        <v>615.25</v>
      </c>
      <c r="J65" s="10" t="n">
        <v>575</v>
      </c>
      <c r="K65" s="11" t="n">
        <v>575</v>
      </c>
      <c r="L65" s="12" t="n">
        <f aca="false">IFERROR(IF(N(J65)=0,"",(K65-J65)/J65),"")</f>
        <v>0</v>
      </c>
      <c r="M65" s="9" t="s">
        <v>224</v>
      </c>
      <c r="N65" s="9" t="s">
        <v>227</v>
      </c>
      <c r="O65" s="9" t="s">
        <v>59</v>
      </c>
      <c r="P65" s="9" t="s">
        <v>13</v>
      </c>
    </row>
    <row r="66" customFormat="false" ht="15" hidden="false" customHeight="false" outlineLevel="0" collapsed="false">
      <c r="A66" s="9" t="s">
        <v>228</v>
      </c>
      <c r="B66" s="9" t="s">
        <v>229</v>
      </c>
      <c r="C66" s="9" t="n">
        <v>68</v>
      </c>
      <c r="D66" s="9" t="s">
        <v>54</v>
      </c>
      <c r="E66" s="9" t="s">
        <v>54</v>
      </c>
      <c r="F66" s="9" t="s">
        <v>55</v>
      </c>
      <c r="G66" s="9" t="n">
        <v>50</v>
      </c>
      <c r="H66" s="9" t="s">
        <v>81</v>
      </c>
      <c r="I66" s="10" t="n">
        <v>615.25</v>
      </c>
      <c r="J66" s="10" t="n">
        <v>575</v>
      </c>
      <c r="K66" s="11" t="n">
        <v>575</v>
      </c>
      <c r="L66" s="12" t="n">
        <f aca="false">IFERROR(IF(N(J66)=0,"",(K66-J66)/J66),"")</f>
        <v>0</v>
      </c>
      <c r="M66" s="9" t="s">
        <v>224</v>
      </c>
      <c r="N66" s="9" t="s">
        <v>227</v>
      </c>
      <c r="O66" s="9" t="s">
        <v>59</v>
      </c>
      <c r="P66" s="9" t="s">
        <v>13</v>
      </c>
    </row>
    <row r="67" customFormat="false" ht="15" hidden="false" customHeight="false" outlineLevel="0" collapsed="false">
      <c r="A67" s="9" t="s">
        <v>230</v>
      </c>
      <c r="B67" s="9" t="s">
        <v>231</v>
      </c>
      <c r="C67" s="9" t="n">
        <v>68</v>
      </c>
      <c r="D67" s="9" t="s">
        <v>54</v>
      </c>
      <c r="E67" s="9" t="s">
        <v>54</v>
      </c>
      <c r="F67" s="9" t="s">
        <v>85</v>
      </c>
      <c r="G67" s="9" t="n">
        <v>5</v>
      </c>
      <c r="H67" s="9" t="s">
        <v>62</v>
      </c>
      <c r="I67" s="10" t="n">
        <v>1177</v>
      </c>
      <c r="J67" s="10" t="n">
        <v>1100</v>
      </c>
      <c r="K67" s="11" t="n">
        <v>1100</v>
      </c>
      <c r="L67" s="12" t="n">
        <f aca="false">IFERROR(IF(N(J67)=0,"",(K67-J67)/J67),"")</f>
        <v>0</v>
      </c>
      <c r="M67" s="9" t="s">
        <v>224</v>
      </c>
      <c r="N67" s="9" t="s">
        <v>232</v>
      </c>
      <c r="O67" s="9" t="s">
        <v>59</v>
      </c>
      <c r="P67" s="9" t="s">
        <v>13</v>
      </c>
    </row>
    <row r="68" customFormat="false" ht="15" hidden="false" customHeight="false" outlineLevel="0" collapsed="false">
      <c r="A68" s="9" t="s">
        <v>233</v>
      </c>
      <c r="B68" s="9" t="s">
        <v>234</v>
      </c>
      <c r="C68" s="9" t="n">
        <v>68</v>
      </c>
      <c r="D68" s="9" t="s">
        <v>54</v>
      </c>
      <c r="E68" s="9" t="s">
        <v>54</v>
      </c>
      <c r="F68" s="9" t="s">
        <v>55</v>
      </c>
      <c r="G68" s="9" t="n">
        <v>360</v>
      </c>
      <c r="H68" s="9" t="s">
        <v>81</v>
      </c>
      <c r="I68" s="10" t="n">
        <v>1348.2</v>
      </c>
      <c r="J68" s="10" t="n">
        <v>1260</v>
      </c>
      <c r="K68" s="11" t="n">
        <v>1260</v>
      </c>
      <c r="L68" s="12" t="n">
        <f aca="false">IFERROR(IF(N(J68)=0,"",(K68-J68)/J68),"")</f>
        <v>0</v>
      </c>
      <c r="M68" s="9" t="s">
        <v>224</v>
      </c>
      <c r="N68" s="9" t="s">
        <v>235</v>
      </c>
      <c r="O68" s="9" t="s">
        <v>59</v>
      </c>
      <c r="P68" s="9" t="s">
        <v>13</v>
      </c>
    </row>
    <row r="69" customFormat="false" ht="15" hidden="false" customHeight="false" outlineLevel="0" collapsed="false">
      <c r="A69" s="9" t="s">
        <v>236</v>
      </c>
      <c r="B69" s="9" t="s">
        <v>237</v>
      </c>
      <c r="C69" s="9" t="n">
        <v>68</v>
      </c>
      <c r="D69" s="9" t="s">
        <v>54</v>
      </c>
      <c r="E69" s="9" t="s">
        <v>54</v>
      </c>
      <c r="F69" s="9" t="s">
        <v>55</v>
      </c>
      <c r="G69" s="9" t="n">
        <v>120</v>
      </c>
      <c r="H69" s="9" t="s">
        <v>81</v>
      </c>
      <c r="I69" s="10" t="n">
        <v>513.6</v>
      </c>
      <c r="J69" s="10" t="n">
        <v>480</v>
      </c>
      <c r="K69" s="11" t="n">
        <v>480</v>
      </c>
      <c r="L69" s="12" t="n">
        <f aca="false">IFERROR(IF(N(J69)=0,"",(K69-J69)/J69),"")</f>
        <v>0</v>
      </c>
      <c r="M69" s="9" t="s">
        <v>224</v>
      </c>
      <c r="N69" s="9" t="s">
        <v>238</v>
      </c>
      <c r="O69" s="9" t="s">
        <v>59</v>
      </c>
      <c r="P69" s="9" t="s">
        <v>13</v>
      </c>
    </row>
    <row r="70" customFormat="false" ht="15" hidden="false" customHeight="false" outlineLevel="0" collapsed="false">
      <c r="A70" s="9" t="s">
        <v>239</v>
      </c>
      <c r="B70" s="9" t="s">
        <v>240</v>
      </c>
      <c r="C70" s="9" t="n">
        <v>68</v>
      </c>
      <c r="D70" s="9" t="s">
        <v>54</v>
      </c>
      <c r="E70" s="9" t="s">
        <v>54</v>
      </c>
      <c r="F70" s="9" t="s">
        <v>55</v>
      </c>
      <c r="G70" s="9" t="n">
        <v>50</v>
      </c>
      <c r="H70" s="9" t="s">
        <v>81</v>
      </c>
      <c r="I70" s="10" t="n">
        <v>630.23</v>
      </c>
      <c r="J70" s="10" t="n">
        <v>589</v>
      </c>
      <c r="K70" s="11" t="n">
        <v>589</v>
      </c>
      <c r="L70" s="12" t="n">
        <f aca="false">IFERROR(IF(N(J70)=0,"",(K70-J70)/J70),"")</f>
        <v>0</v>
      </c>
      <c r="M70" s="9" t="s">
        <v>224</v>
      </c>
      <c r="N70" s="9" t="s">
        <v>227</v>
      </c>
      <c r="O70" s="9" t="s">
        <v>59</v>
      </c>
      <c r="P70" s="9" t="s">
        <v>13</v>
      </c>
    </row>
    <row r="71" customFormat="false" ht="15" hidden="false" customHeight="false" outlineLevel="0" collapsed="false">
      <c r="A71" s="9" t="s">
        <v>241</v>
      </c>
      <c r="B71" s="9" t="s">
        <v>242</v>
      </c>
      <c r="C71" s="9" t="n">
        <v>68</v>
      </c>
      <c r="D71" s="9" t="s">
        <v>54</v>
      </c>
      <c r="E71" s="9" t="s">
        <v>54</v>
      </c>
      <c r="F71" s="9" t="s">
        <v>55</v>
      </c>
      <c r="G71" s="9" t="n">
        <v>120</v>
      </c>
      <c r="H71" s="9" t="s">
        <v>81</v>
      </c>
      <c r="I71" s="10" t="n">
        <v>513.6</v>
      </c>
      <c r="J71" s="10" t="n">
        <v>480</v>
      </c>
      <c r="K71" s="11" t="n">
        <v>480</v>
      </c>
      <c r="L71" s="12" t="n">
        <f aca="false">IFERROR(IF(N(J71)=0,"",(K71-J71)/J71),"")</f>
        <v>0</v>
      </c>
      <c r="M71" s="9" t="s">
        <v>224</v>
      </c>
      <c r="N71" s="9" t="s">
        <v>238</v>
      </c>
      <c r="O71" s="9" t="s">
        <v>59</v>
      </c>
      <c r="P71" s="9" t="s">
        <v>13</v>
      </c>
    </row>
    <row r="72" customFormat="false" ht="15" hidden="false" customHeight="false" outlineLevel="0" collapsed="false">
      <c r="A72" s="9" t="s">
        <v>243</v>
      </c>
      <c r="B72" s="9" t="s">
        <v>244</v>
      </c>
      <c r="C72" s="9" t="n">
        <v>68</v>
      </c>
      <c r="D72" s="9" t="s">
        <v>54</v>
      </c>
      <c r="E72" s="9" t="s">
        <v>54</v>
      </c>
      <c r="F72" s="9" t="s">
        <v>62</v>
      </c>
      <c r="G72" s="9" t="n">
        <v>10000</v>
      </c>
      <c r="H72" s="9" t="s">
        <v>56</v>
      </c>
      <c r="I72" s="10" t="n">
        <v>1797.6</v>
      </c>
      <c r="J72" s="10" t="n">
        <v>1680</v>
      </c>
      <c r="K72" s="11" t="n">
        <v>1680</v>
      </c>
      <c r="L72" s="12" t="n">
        <f aca="false">IFERROR(IF(N(J72)=0,"",(K72-J72)/J72),"")</f>
        <v>0</v>
      </c>
      <c r="M72" s="9" t="s">
        <v>224</v>
      </c>
      <c r="N72" s="9" t="s">
        <v>245</v>
      </c>
      <c r="O72" s="9" t="s">
        <v>59</v>
      </c>
      <c r="P72" s="9" t="s">
        <v>13</v>
      </c>
    </row>
    <row r="73" customFormat="false" ht="15" hidden="false" customHeight="false" outlineLevel="0" collapsed="false">
      <c r="A73" s="9" t="s">
        <v>246</v>
      </c>
      <c r="B73" s="9" t="s">
        <v>247</v>
      </c>
      <c r="C73" s="9" t="n">
        <v>68</v>
      </c>
      <c r="D73" s="9" t="s">
        <v>54</v>
      </c>
      <c r="E73" s="9" t="s">
        <v>54</v>
      </c>
      <c r="F73" s="9" t="s">
        <v>55</v>
      </c>
      <c r="G73" s="9" t="n">
        <v>20</v>
      </c>
      <c r="H73" s="9" t="s">
        <v>81</v>
      </c>
      <c r="I73" s="10" t="n">
        <v>1476.6</v>
      </c>
      <c r="J73" s="10" t="n">
        <v>1380</v>
      </c>
      <c r="K73" s="11" t="n">
        <v>1380</v>
      </c>
      <c r="L73" s="12" t="n">
        <f aca="false">IFERROR(IF(N(J73)=0,"",(K73-J73)/J73),"")</f>
        <v>0</v>
      </c>
      <c r="M73" s="9" t="s">
        <v>224</v>
      </c>
      <c r="N73" s="9" t="s">
        <v>235</v>
      </c>
      <c r="O73" s="9" t="s">
        <v>59</v>
      </c>
      <c r="P73" s="9" t="s">
        <v>13</v>
      </c>
    </row>
    <row r="74" customFormat="false" ht="15" hidden="false" customHeight="false" outlineLevel="0" collapsed="false">
      <c r="A74" s="9" t="s">
        <v>248</v>
      </c>
      <c r="B74" s="9" t="s">
        <v>249</v>
      </c>
      <c r="C74" s="9" t="n">
        <v>68</v>
      </c>
      <c r="D74" s="9" t="s">
        <v>54</v>
      </c>
      <c r="E74" s="9" t="s">
        <v>54</v>
      </c>
      <c r="F74" s="9" t="s">
        <v>55</v>
      </c>
      <c r="G74" s="9" t="n">
        <v>100</v>
      </c>
      <c r="H74" s="9" t="s">
        <v>81</v>
      </c>
      <c r="I74" s="10" t="n">
        <v>556.4</v>
      </c>
      <c r="J74" s="10" t="n">
        <v>520</v>
      </c>
      <c r="K74" s="11" t="n">
        <v>520</v>
      </c>
      <c r="L74" s="12" t="n">
        <f aca="false">IFERROR(IF(N(J74)=0,"",(K74-J74)/J74),"")</f>
        <v>0</v>
      </c>
      <c r="M74" s="9" t="s">
        <v>224</v>
      </c>
      <c r="N74" s="9" t="s">
        <v>92</v>
      </c>
      <c r="O74" s="9" t="s">
        <v>59</v>
      </c>
      <c r="P74" s="9" t="s">
        <v>13</v>
      </c>
    </row>
    <row r="75" customFormat="false" ht="15" hidden="false" customHeight="false" outlineLevel="0" collapsed="false">
      <c r="A75" s="9" t="s">
        <v>250</v>
      </c>
      <c r="B75" s="9" t="s">
        <v>251</v>
      </c>
      <c r="C75" s="9" t="n">
        <v>68</v>
      </c>
      <c r="D75" s="9" t="s">
        <v>54</v>
      </c>
      <c r="E75" s="9" t="s">
        <v>54</v>
      </c>
      <c r="F75" s="9" t="s">
        <v>55</v>
      </c>
      <c r="G75" s="9" t="n">
        <v>100</v>
      </c>
      <c r="H75" s="9" t="s">
        <v>81</v>
      </c>
      <c r="I75" s="10" t="n">
        <v>556.4</v>
      </c>
      <c r="J75" s="10" t="n">
        <v>520</v>
      </c>
      <c r="K75" s="11" t="n">
        <v>520</v>
      </c>
      <c r="L75" s="12" t="n">
        <f aca="false">IFERROR(IF(N(J75)=0,"",(K75-J75)/J75),"")</f>
        <v>0</v>
      </c>
      <c r="M75" s="9" t="s">
        <v>224</v>
      </c>
      <c r="N75" s="9" t="s">
        <v>92</v>
      </c>
      <c r="O75" s="9" t="s">
        <v>59</v>
      </c>
      <c r="P75" s="9" t="s">
        <v>13</v>
      </c>
    </row>
    <row r="76" customFormat="false" ht="15" hidden="false" customHeight="false" outlineLevel="0" collapsed="false">
      <c r="A76" s="9" t="s">
        <v>252</v>
      </c>
      <c r="B76" s="9" t="s">
        <v>253</v>
      </c>
      <c r="C76" s="9" t="n">
        <v>68</v>
      </c>
      <c r="D76" s="9" t="s">
        <v>54</v>
      </c>
      <c r="E76" s="9" t="s">
        <v>54</v>
      </c>
      <c r="F76" s="9" t="s">
        <v>55</v>
      </c>
      <c r="G76" s="9" t="n">
        <v>100</v>
      </c>
      <c r="H76" s="9" t="s">
        <v>81</v>
      </c>
      <c r="I76" s="10" t="n">
        <v>556.4</v>
      </c>
      <c r="J76" s="10" t="n">
        <v>520</v>
      </c>
      <c r="K76" s="11" t="n">
        <v>520</v>
      </c>
      <c r="L76" s="12" t="n">
        <f aca="false">IFERROR(IF(N(J76)=0,"",(K76-J76)/J76),"")</f>
        <v>0</v>
      </c>
      <c r="M76" s="9" t="s">
        <v>224</v>
      </c>
      <c r="N76" s="9" t="s">
        <v>92</v>
      </c>
      <c r="O76" s="9" t="s">
        <v>59</v>
      </c>
      <c r="P76" s="9" t="s">
        <v>13</v>
      </c>
    </row>
    <row r="77" customFormat="false" ht="15" hidden="false" customHeight="false" outlineLevel="0" collapsed="false">
      <c r="A77" s="9" t="s">
        <v>254</v>
      </c>
      <c r="B77" s="9" t="s">
        <v>255</v>
      </c>
      <c r="C77" s="9" t="n">
        <v>68</v>
      </c>
      <c r="D77" s="9" t="s">
        <v>54</v>
      </c>
      <c r="E77" s="9" t="s">
        <v>54</v>
      </c>
      <c r="F77" s="9" t="s">
        <v>55</v>
      </c>
      <c r="G77" s="9" t="n">
        <v>100</v>
      </c>
      <c r="H77" s="9" t="s">
        <v>81</v>
      </c>
      <c r="I77" s="10" t="n">
        <v>556.4</v>
      </c>
      <c r="J77" s="10" t="n">
        <v>520</v>
      </c>
      <c r="K77" s="11" t="n">
        <v>520</v>
      </c>
      <c r="L77" s="12" t="n">
        <f aca="false">IFERROR(IF(N(J77)=0,"",(K77-J77)/J77),"")</f>
        <v>0</v>
      </c>
      <c r="M77" s="9" t="s">
        <v>224</v>
      </c>
      <c r="N77" s="9" t="s">
        <v>92</v>
      </c>
      <c r="O77" s="9" t="s">
        <v>59</v>
      </c>
      <c r="P77" s="9" t="s">
        <v>13</v>
      </c>
    </row>
    <row r="78" customFormat="false" ht="15" hidden="false" customHeight="false" outlineLevel="0" collapsed="false">
      <c r="A78" s="9" t="s">
        <v>256</v>
      </c>
      <c r="B78" s="9" t="s">
        <v>257</v>
      </c>
      <c r="C78" s="9" t="n">
        <v>68</v>
      </c>
      <c r="D78" s="9" t="s">
        <v>54</v>
      </c>
      <c r="E78" s="9" t="s">
        <v>54</v>
      </c>
      <c r="F78" s="9" t="s">
        <v>55</v>
      </c>
      <c r="G78" s="9" t="n">
        <v>180</v>
      </c>
      <c r="H78" s="9" t="s">
        <v>81</v>
      </c>
      <c r="I78" s="10" t="n">
        <v>1819</v>
      </c>
      <c r="J78" s="10" t="n">
        <v>1700</v>
      </c>
      <c r="K78" s="11" t="n">
        <v>1700</v>
      </c>
      <c r="L78" s="12" t="n">
        <f aca="false">IFERROR(IF(N(J78)=0,"",(K78-J78)/J78),"")</f>
        <v>0</v>
      </c>
      <c r="M78" s="9" t="s">
        <v>224</v>
      </c>
      <c r="N78" s="9" t="s">
        <v>235</v>
      </c>
      <c r="O78" s="9" t="s">
        <v>59</v>
      </c>
      <c r="P78" s="9" t="s">
        <v>13</v>
      </c>
    </row>
    <row r="79" customFormat="false" ht="15" hidden="false" customHeight="false" outlineLevel="0" collapsed="false">
      <c r="A79" s="9" t="s">
        <v>258</v>
      </c>
      <c r="B79" s="9" t="s">
        <v>259</v>
      </c>
      <c r="C79" s="9" t="s">
        <v>70</v>
      </c>
      <c r="D79" s="9" t="s">
        <v>54</v>
      </c>
      <c r="E79" s="9" t="s">
        <v>54</v>
      </c>
      <c r="F79" s="9" t="s">
        <v>74</v>
      </c>
      <c r="G79" s="9" t="n">
        <v>500</v>
      </c>
      <c r="H79" s="9" t="s">
        <v>56</v>
      </c>
      <c r="I79" s="10" t="n">
        <v>27.82</v>
      </c>
      <c r="J79" s="10" t="n">
        <v>26</v>
      </c>
      <c r="K79" s="11" t="n">
        <v>26</v>
      </c>
      <c r="L79" s="12" t="n">
        <f aca="false">IFERROR(IF(N(J79)=0,"",(K79-J79)/J79),"")</f>
        <v>0</v>
      </c>
      <c r="M79" s="9" t="s">
        <v>224</v>
      </c>
      <c r="N79" s="9" t="s">
        <v>260</v>
      </c>
      <c r="O79" s="9" t="s">
        <v>59</v>
      </c>
      <c r="P79" s="9" t="s">
        <v>13</v>
      </c>
    </row>
    <row r="80" customFormat="false" ht="15" hidden="false" customHeight="false" outlineLevel="0" collapsed="false">
      <c r="A80" s="9" t="s">
        <v>261</v>
      </c>
      <c r="B80" s="9" t="s">
        <v>262</v>
      </c>
      <c r="C80" s="9" t="n">
        <v>68</v>
      </c>
      <c r="D80" s="9" t="s">
        <v>54</v>
      </c>
      <c r="E80" s="9" t="s">
        <v>54</v>
      </c>
      <c r="F80" s="9" t="s">
        <v>85</v>
      </c>
      <c r="G80" s="9" t="n">
        <v>80</v>
      </c>
      <c r="H80" s="9" t="s">
        <v>81</v>
      </c>
      <c r="I80" s="10" t="n">
        <v>1455.2</v>
      </c>
      <c r="J80" s="10" t="n">
        <v>1360</v>
      </c>
      <c r="K80" s="11" t="n">
        <v>1360</v>
      </c>
      <c r="L80" s="12" t="n">
        <f aca="false">IFERROR(IF(N(J80)=0,"",(K80-J80)/J80),"")</f>
        <v>0</v>
      </c>
      <c r="M80" s="9" t="s">
        <v>224</v>
      </c>
      <c r="N80" s="9" t="s">
        <v>92</v>
      </c>
      <c r="O80" s="9" t="s">
        <v>87</v>
      </c>
      <c r="P80" s="9" t="s">
        <v>13</v>
      </c>
    </row>
    <row r="81" customFormat="false" ht="15" hidden="false" customHeight="false" outlineLevel="0" collapsed="false">
      <c r="A81" s="9" t="s">
        <v>263</v>
      </c>
      <c r="B81" s="9" t="s">
        <v>264</v>
      </c>
      <c r="C81" s="9" t="n">
        <v>68</v>
      </c>
      <c r="D81" s="9" t="s">
        <v>54</v>
      </c>
      <c r="E81" s="9" t="s">
        <v>54</v>
      </c>
      <c r="F81" s="9" t="s">
        <v>85</v>
      </c>
      <c r="G81" s="9" t="n">
        <v>25</v>
      </c>
      <c r="H81" s="9" t="s">
        <v>81</v>
      </c>
      <c r="I81" s="10" t="n">
        <v>458.17</v>
      </c>
      <c r="J81" s="10" t="n">
        <v>428.1963</v>
      </c>
      <c r="K81" s="11" t="n">
        <v>428.2</v>
      </c>
      <c r="L81" s="12" t="n">
        <f aca="false">IFERROR(IF(N(J81)=0,"",(K81-J81)/J81),"")</f>
        <v>8.64089671017876E-006</v>
      </c>
      <c r="M81" s="9" t="s">
        <v>224</v>
      </c>
      <c r="N81" s="9" t="s">
        <v>265</v>
      </c>
      <c r="O81" s="9" t="s">
        <v>59</v>
      </c>
      <c r="P81" s="9" t="s">
        <v>13</v>
      </c>
    </row>
    <row r="82" customFormat="false" ht="15" hidden="false" customHeight="false" outlineLevel="0" collapsed="false">
      <c r="A82" s="9" t="s">
        <v>266</v>
      </c>
      <c r="B82" s="9" t="s">
        <v>267</v>
      </c>
      <c r="C82" s="9" t="n">
        <v>68</v>
      </c>
      <c r="D82" s="9" t="s">
        <v>54</v>
      </c>
      <c r="E82" s="9" t="s">
        <v>54</v>
      </c>
      <c r="F82" s="9" t="s">
        <v>106</v>
      </c>
      <c r="G82" s="9" t="n">
        <v>10000</v>
      </c>
      <c r="H82" s="9" t="s">
        <v>56</v>
      </c>
      <c r="I82" s="10" t="n">
        <v>1016.5</v>
      </c>
      <c r="J82" s="10" t="n">
        <v>950</v>
      </c>
      <c r="K82" s="11" t="n">
        <v>950</v>
      </c>
      <c r="L82" s="12" t="n">
        <f aca="false">IFERROR(IF(N(J82)=0,"",(K82-J82)/J82),"")</f>
        <v>0</v>
      </c>
      <c r="M82" s="9" t="s">
        <v>224</v>
      </c>
      <c r="N82" s="9" t="s">
        <v>268</v>
      </c>
      <c r="O82" s="9" t="s">
        <v>59</v>
      </c>
      <c r="P82" s="9" t="s">
        <v>13</v>
      </c>
    </row>
    <row r="83" customFormat="false" ht="15" hidden="false" customHeight="false" outlineLevel="0" collapsed="false">
      <c r="A83" s="9" t="s">
        <v>269</v>
      </c>
      <c r="B83" s="9" t="s">
        <v>270</v>
      </c>
      <c r="C83" s="9" t="n">
        <v>68</v>
      </c>
      <c r="D83" s="9" t="s">
        <v>54</v>
      </c>
      <c r="E83" s="9" t="s">
        <v>54</v>
      </c>
      <c r="F83" s="9" t="s">
        <v>85</v>
      </c>
      <c r="G83" s="9" t="n">
        <v>1500</v>
      </c>
      <c r="H83" s="9" t="s">
        <v>81</v>
      </c>
      <c r="I83" s="10" t="n">
        <v>1444.5</v>
      </c>
      <c r="J83" s="10" t="n">
        <v>1350</v>
      </c>
      <c r="K83" s="11" t="n">
        <v>1350</v>
      </c>
      <c r="L83" s="12" t="n">
        <f aca="false">IFERROR(IF(N(J83)=0,"",(K83-J83)/J83),"")</f>
        <v>0</v>
      </c>
      <c r="M83" s="9" t="s">
        <v>224</v>
      </c>
      <c r="N83" s="9" t="s">
        <v>271</v>
      </c>
      <c r="O83" s="9" t="s">
        <v>59</v>
      </c>
      <c r="P83" s="9" t="s">
        <v>13</v>
      </c>
    </row>
    <row r="84" customFormat="false" ht="15" hidden="false" customHeight="false" outlineLevel="0" collapsed="false">
      <c r="A84" s="9" t="s">
        <v>272</v>
      </c>
      <c r="B84" s="9" t="s">
        <v>273</v>
      </c>
      <c r="C84" s="9" t="n">
        <v>68</v>
      </c>
      <c r="D84" s="9" t="s">
        <v>54</v>
      </c>
      <c r="E84" s="9" t="s">
        <v>54</v>
      </c>
      <c r="F84" s="9" t="s">
        <v>55</v>
      </c>
      <c r="G84" s="9" t="n">
        <v>15000</v>
      </c>
      <c r="H84" s="9" t="s">
        <v>56</v>
      </c>
      <c r="I84" s="10" t="n">
        <v>1113.87</v>
      </c>
      <c r="J84" s="10" t="n">
        <v>1041</v>
      </c>
      <c r="K84" s="11" t="n">
        <v>1041</v>
      </c>
      <c r="L84" s="12" t="n">
        <f aca="false">IFERROR(IF(N(J84)=0,"",(K84-J84)/J84),"")</f>
        <v>0</v>
      </c>
      <c r="M84" s="9" t="s">
        <v>224</v>
      </c>
      <c r="N84" s="9" t="s">
        <v>188</v>
      </c>
      <c r="O84" s="9" t="s">
        <v>59</v>
      </c>
      <c r="P84" s="9" t="s">
        <v>13</v>
      </c>
    </row>
    <row r="85" customFormat="false" ht="15" hidden="false" customHeight="false" outlineLevel="0" collapsed="false">
      <c r="A85" s="9" t="s">
        <v>274</v>
      </c>
      <c r="B85" s="9" t="s">
        <v>275</v>
      </c>
      <c r="C85" s="9" t="n">
        <v>68</v>
      </c>
      <c r="D85" s="9" t="s">
        <v>54</v>
      </c>
      <c r="E85" s="9" t="s">
        <v>54</v>
      </c>
      <c r="F85" s="9" t="s">
        <v>55</v>
      </c>
      <c r="G85" s="9" t="n">
        <v>10000</v>
      </c>
      <c r="H85" s="9" t="s">
        <v>56</v>
      </c>
      <c r="I85" s="10" t="n">
        <v>1631.75</v>
      </c>
      <c r="J85" s="10" t="n">
        <v>1525</v>
      </c>
      <c r="K85" s="11" t="n">
        <v>1525</v>
      </c>
      <c r="L85" s="12" t="n">
        <f aca="false">IFERROR(IF(N(J85)=0,"",(K85-J85)/J85),"")</f>
        <v>0</v>
      </c>
      <c r="M85" s="9" t="s">
        <v>224</v>
      </c>
      <c r="N85" s="9" t="s">
        <v>143</v>
      </c>
      <c r="O85" s="9" t="s">
        <v>59</v>
      </c>
      <c r="P85" s="9" t="s">
        <v>13</v>
      </c>
    </row>
    <row r="86" customFormat="false" ht="15" hidden="false" customHeight="false" outlineLevel="0" collapsed="false">
      <c r="A86" s="9" t="s">
        <v>276</v>
      </c>
      <c r="B86" s="9" t="s">
        <v>277</v>
      </c>
      <c r="C86" s="9" t="n">
        <v>68</v>
      </c>
      <c r="D86" s="9" t="s">
        <v>54</v>
      </c>
      <c r="E86" s="9" t="s">
        <v>54</v>
      </c>
      <c r="F86" s="9" t="s">
        <v>55</v>
      </c>
      <c r="G86" s="9" t="n">
        <v>25000</v>
      </c>
      <c r="H86" s="9" t="s">
        <v>56</v>
      </c>
      <c r="I86" s="10" t="n">
        <v>6270.2</v>
      </c>
      <c r="J86" s="10" t="n">
        <v>5860</v>
      </c>
      <c r="K86" s="11" t="n">
        <v>5860</v>
      </c>
      <c r="L86" s="12" t="n">
        <f aca="false">IFERROR(IF(N(J86)=0,"",(K86-J86)/J86),"")</f>
        <v>0</v>
      </c>
      <c r="M86" s="9" t="s">
        <v>224</v>
      </c>
      <c r="N86" s="9" t="s">
        <v>245</v>
      </c>
      <c r="O86" s="9" t="s">
        <v>59</v>
      </c>
      <c r="P86" s="9" t="s">
        <v>13</v>
      </c>
    </row>
    <row r="87" customFormat="false" ht="15" hidden="false" customHeight="false" outlineLevel="0" collapsed="false">
      <c r="A87" s="9" t="s">
        <v>278</v>
      </c>
      <c r="B87" s="9" t="s">
        <v>279</v>
      </c>
      <c r="C87" s="9" t="n">
        <v>68</v>
      </c>
      <c r="D87" s="9" t="s">
        <v>54</v>
      </c>
      <c r="E87" s="9" t="s">
        <v>54</v>
      </c>
      <c r="F87" s="9" t="s">
        <v>85</v>
      </c>
      <c r="G87" s="9" t="n">
        <v>50</v>
      </c>
      <c r="H87" s="9" t="s">
        <v>81</v>
      </c>
      <c r="I87" s="10" t="n">
        <v>679.66</v>
      </c>
      <c r="J87" s="10" t="n">
        <v>635.1963</v>
      </c>
      <c r="K87" s="11" t="n">
        <v>635.2</v>
      </c>
      <c r="L87" s="12" t="n">
        <f aca="false">IFERROR(IF(N(J87)=0,"",(K87-J87)/J87),"")</f>
        <v>5.82497095794545E-006</v>
      </c>
      <c r="M87" s="9" t="s">
        <v>224</v>
      </c>
      <c r="N87" s="9" t="s">
        <v>265</v>
      </c>
      <c r="O87" s="9" t="s">
        <v>59</v>
      </c>
      <c r="P87" s="9" t="s">
        <v>13</v>
      </c>
    </row>
    <row r="88" customFormat="false" ht="15" hidden="false" customHeight="false" outlineLevel="0" collapsed="false">
      <c r="A88" s="9" t="s">
        <v>280</v>
      </c>
      <c r="B88" s="9" t="s">
        <v>281</v>
      </c>
      <c r="C88" s="9" t="n">
        <v>68</v>
      </c>
      <c r="D88" s="9" t="s">
        <v>54</v>
      </c>
      <c r="E88" s="9" t="s">
        <v>54</v>
      </c>
      <c r="F88" s="9" t="s">
        <v>62</v>
      </c>
      <c r="G88" s="9" t="n">
        <v>10000</v>
      </c>
      <c r="H88" s="9" t="s">
        <v>56</v>
      </c>
      <c r="I88" s="10" t="n">
        <v>802.5</v>
      </c>
      <c r="J88" s="10" t="n">
        <v>750</v>
      </c>
      <c r="K88" s="11" t="n">
        <v>750</v>
      </c>
      <c r="L88" s="12" t="n">
        <f aca="false">IFERROR(IF(N(J88)=0,"",(K88-J88)/J88),"")</f>
        <v>0</v>
      </c>
      <c r="M88" s="9" t="s">
        <v>224</v>
      </c>
      <c r="N88" s="9" t="s">
        <v>164</v>
      </c>
      <c r="O88" s="9" t="s">
        <v>59</v>
      </c>
      <c r="P88" s="9" t="s">
        <v>13</v>
      </c>
    </row>
    <row r="89" customFormat="false" ht="15" hidden="false" customHeight="false" outlineLevel="0" collapsed="false">
      <c r="A89" s="9" t="s">
        <v>282</v>
      </c>
      <c r="B89" s="9" t="s">
        <v>283</v>
      </c>
      <c r="C89" s="9" t="n">
        <v>68</v>
      </c>
      <c r="D89" s="9" t="s">
        <v>54</v>
      </c>
      <c r="E89" s="9" t="s">
        <v>54</v>
      </c>
      <c r="F89" s="9" t="s">
        <v>85</v>
      </c>
      <c r="G89" s="9" t="n">
        <v>1000</v>
      </c>
      <c r="H89" s="9" t="s">
        <v>56</v>
      </c>
      <c r="I89" s="10" t="n">
        <v>749</v>
      </c>
      <c r="J89" s="10" t="n">
        <v>700</v>
      </c>
      <c r="K89" s="11" t="n">
        <v>700</v>
      </c>
      <c r="L89" s="12" t="n">
        <f aca="false">IFERROR(IF(N(J89)=0,"",(K89-J89)/J89),"")</f>
        <v>0</v>
      </c>
      <c r="M89" s="9" t="s">
        <v>224</v>
      </c>
      <c r="N89" s="9" t="s">
        <v>164</v>
      </c>
      <c r="O89" s="9" t="s">
        <v>59</v>
      </c>
      <c r="P89" s="9" t="s">
        <v>13</v>
      </c>
    </row>
    <row r="90" customFormat="false" ht="15" hidden="false" customHeight="false" outlineLevel="0" collapsed="false">
      <c r="A90" s="9" t="s">
        <v>284</v>
      </c>
      <c r="B90" s="9" t="s">
        <v>285</v>
      </c>
      <c r="C90" s="9" t="n">
        <v>78</v>
      </c>
      <c r="D90" s="9" t="s">
        <v>54</v>
      </c>
      <c r="E90" s="9" t="s">
        <v>54</v>
      </c>
      <c r="F90" s="9" t="s">
        <v>85</v>
      </c>
      <c r="G90" s="9" t="n">
        <v>1000</v>
      </c>
      <c r="H90" s="9" t="s">
        <v>81</v>
      </c>
      <c r="I90" s="10" t="n">
        <v>374.5</v>
      </c>
      <c r="J90" s="10" t="n">
        <v>350</v>
      </c>
      <c r="K90" s="11" t="n">
        <v>350</v>
      </c>
      <c r="L90" s="12" t="n">
        <f aca="false">IFERROR(IF(N(J90)=0,"",(K90-J90)/J90),"")</f>
        <v>0</v>
      </c>
      <c r="M90" s="9" t="s">
        <v>224</v>
      </c>
      <c r="N90" s="9" t="s">
        <v>271</v>
      </c>
      <c r="O90" s="9" t="s">
        <v>59</v>
      </c>
      <c r="P90" s="9" t="s">
        <v>13</v>
      </c>
    </row>
    <row r="91" customFormat="false" ht="15" hidden="false" customHeight="false" outlineLevel="0" collapsed="false">
      <c r="A91" s="9" t="s">
        <v>286</v>
      </c>
      <c r="B91" s="9" t="s">
        <v>287</v>
      </c>
      <c r="C91" s="9" t="n">
        <v>68</v>
      </c>
      <c r="D91" s="9" t="s">
        <v>54</v>
      </c>
      <c r="E91" s="9" t="s">
        <v>54</v>
      </c>
      <c r="F91" s="9" t="s">
        <v>288</v>
      </c>
      <c r="G91" s="9" t="n">
        <v>1880</v>
      </c>
      <c r="H91" s="9" t="s">
        <v>56</v>
      </c>
      <c r="I91" s="10" t="n">
        <v>428</v>
      </c>
      <c r="J91" s="10" t="n">
        <v>400</v>
      </c>
      <c r="K91" s="11" t="n">
        <v>400</v>
      </c>
      <c r="L91" s="12" t="n">
        <f aca="false">IFERROR(IF(N(J91)=0,"",(K91-J91)/J91),"")</f>
        <v>0</v>
      </c>
      <c r="M91" s="9" t="s">
        <v>224</v>
      </c>
      <c r="N91" s="9" t="s">
        <v>289</v>
      </c>
      <c r="O91" s="9" t="s">
        <v>59</v>
      </c>
      <c r="P91" s="9" t="s">
        <v>13</v>
      </c>
    </row>
    <row r="92" customFormat="false" ht="15" hidden="false" customHeight="false" outlineLevel="0" collapsed="false">
      <c r="A92" s="9" t="s">
        <v>290</v>
      </c>
      <c r="B92" s="9" t="s">
        <v>291</v>
      </c>
      <c r="C92" s="9" t="n">
        <v>78</v>
      </c>
      <c r="D92" s="9" t="s">
        <v>54</v>
      </c>
      <c r="E92" s="9" t="s">
        <v>54</v>
      </c>
      <c r="F92" s="9" t="s">
        <v>85</v>
      </c>
      <c r="G92" s="9" t="n">
        <v>80</v>
      </c>
      <c r="H92" s="9" t="s">
        <v>81</v>
      </c>
      <c r="I92" s="10" t="n">
        <v>941.6</v>
      </c>
      <c r="J92" s="10" t="n">
        <v>880</v>
      </c>
      <c r="K92" s="11" t="n">
        <v>880</v>
      </c>
      <c r="L92" s="12" t="n">
        <f aca="false">IFERROR(IF(N(J92)=0,"",(K92-J92)/J92),"")</f>
        <v>0</v>
      </c>
      <c r="M92" s="9" t="s">
        <v>224</v>
      </c>
      <c r="N92" s="9" t="s">
        <v>92</v>
      </c>
      <c r="O92" s="9" t="s">
        <v>59</v>
      </c>
      <c r="P92" s="9" t="s">
        <v>13</v>
      </c>
    </row>
    <row r="93" customFormat="false" ht="15" hidden="false" customHeight="false" outlineLevel="0" collapsed="false">
      <c r="A93" s="9" t="s">
        <v>292</v>
      </c>
      <c r="B93" s="9" t="s">
        <v>293</v>
      </c>
      <c r="C93" s="9" t="n">
        <v>68</v>
      </c>
      <c r="D93" s="9" t="s">
        <v>54</v>
      </c>
      <c r="E93" s="9" t="s">
        <v>54</v>
      </c>
      <c r="F93" s="9" t="s">
        <v>55</v>
      </c>
      <c r="G93" s="9" t="n">
        <v>400</v>
      </c>
      <c r="H93" s="9" t="s">
        <v>81</v>
      </c>
      <c r="I93" s="10" t="n">
        <v>3852</v>
      </c>
      <c r="J93" s="10" t="n">
        <v>3600</v>
      </c>
      <c r="K93" s="11" t="n">
        <v>3600</v>
      </c>
      <c r="L93" s="12" t="n">
        <f aca="false">IFERROR(IF(N(J93)=0,"",(K93-J93)/J93),"")</f>
        <v>0</v>
      </c>
      <c r="M93" s="9" t="s">
        <v>224</v>
      </c>
      <c r="N93" s="9" t="s">
        <v>294</v>
      </c>
      <c r="O93" s="9" t="s">
        <v>59</v>
      </c>
      <c r="P93" s="9" t="s">
        <v>13</v>
      </c>
    </row>
    <row r="94" customFormat="false" ht="15" hidden="false" customHeight="false" outlineLevel="0" collapsed="false">
      <c r="A94" s="9" t="s">
        <v>295</v>
      </c>
      <c r="B94" s="9" t="s">
        <v>296</v>
      </c>
      <c r="C94" s="9" t="n">
        <v>78</v>
      </c>
      <c r="D94" s="9" t="s">
        <v>54</v>
      </c>
      <c r="E94" s="9" t="s">
        <v>54</v>
      </c>
      <c r="F94" s="9" t="s">
        <v>85</v>
      </c>
      <c r="G94" s="9" t="n">
        <v>300</v>
      </c>
      <c r="H94" s="9" t="s">
        <v>81</v>
      </c>
      <c r="I94" s="10" t="n">
        <v>1284</v>
      </c>
      <c r="J94" s="10" t="n">
        <v>1200</v>
      </c>
      <c r="K94" s="11" t="n">
        <v>1200</v>
      </c>
      <c r="L94" s="12" t="n">
        <f aca="false">IFERROR(IF(N(J94)=0,"",(K94-J94)/J94),"")</f>
        <v>0</v>
      </c>
      <c r="M94" s="9" t="s">
        <v>224</v>
      </c>
      <c r="N94" s="9" t="s">
        <v>271</v>
      </c>
      <c r="O94" s="9" t="s">
        <v>59</v>
      </c>
      <c r="P94" s="9" t="s">
        <v>13</v>
      </c>
    </row>
    <row r="95" customFormat="false" ht="15" hidden="false" customHeight="false" outlineLevel="0" collapsed="false">
      <c r="A95" s="9" t="s">
        <v>297</v>
      </c>
      <c r="B95" s="9" t="s">
        <v>298</v>
      </c>
      <c r="C95" s="9" t="n">
        <v>78</v>
      </c>
      <c r="D95" s="9" t="s">
        <v>54</v>
      </c>
      <c r="E95" s="9" t="s">
        <v>54</v>
      </c>
      <c r="F95" s="9" t="s">
        <v>85</v>
      </c>
      <c r="G95" s="9" t="n">
        <v>300</v>
      </c>
      <c r="H95" s="9" t="s">
        <v>81</v>
      </c>
      <c r="I95" s="10" t="n">
        <v>160.5</v>
      </c>
      <c r="J95" s="10" t="n">
        <v>150</v>
      </c>
      <c r="K95" s="11" t="n">
        <v>150</v>
      </c>
      <c r="L95" s="12" t="n">
        <f aca="false">IFERROR(IF(N(J95)=0,"",(K95-J95)/J95),"")</f>
        <v>0</v>
      </c>
      <c r="M95" s="9" t="s">
        <v>224</v>
      </c>
      <c r="N95" s="9" t="s">
        <v>271</v>
      </c>
      <c r="O95" s="9" t="s">
        <v>59</v>
      </c>
      <c r="P95" s="9" t="s">
        <v>13</v>
      </c>
    </row>
    <row r="96" customFormat="false" ht="15" hidden="false" customHeight="false" outlineLevel="0" collapsed="false">
      <c r="A96" s="9" t="s">
        <v>299</v>
      </c>
      <c r="B96" s="9" t="s">
        <v>300</v>
      </c>
      <c r="C96" s="9" t="n">
        <v>68</v>
      </c>
      <c r="D96" s="9" t="s">
        <v>54</v>
      </c>
      <c r="E96" s="9" t="s">
        <v>54</v>
      </c>
      <c r="F96" s="9" t="s">
        <v>85</v>
      </c>
      <c r="G96" s="9" t="n">
        <v>60</v>
      </c>
      <c r="H96" s="9" t="s">
        <v>81</v>
      </c>
      <c r="I96" s="10" t="n">
        <v>1284</v>
      </c>
      <c r="J96" s="10" t="n">
        <v>1200</v>
      </c>
      <c r="K96" s="11" t="n">
        <v>1200</v>
      </c>
      <c r="L96" s="12" t="n">
        <f aca="false">IFERROR(IF(N(J96)=0,"",(K96-J96)/J96),"")</f>
        <v>0</v>
      </c>
      <c r="M96" s="9" t="s">
        <v>224</v>
      </c>
      <c r="N96" s="9" t="s">
        <v>301</v>
      </c>
      <c r="O96" s="9" t="s">
        <v>59</v>
      </c>
      <c r="P96" s="9" t="s">
        <v>13</v>
      </c>
    </row>
    <row r="97" customFormat="false" ht="15" hidden="false" customHeight="false" outlineLevel="0" collapsed="false">
      <c r="A97" s="9" t="s">
        <v>302</v>
      </c>
      <c r="B97" s="9" t="s">
        <v>303</v>
      </c>
      <c r="C97" s="9" t="n">
        <v>78</v>
      </c>
      <c r="D97" s="9" t="s">
        <v>54</v>
      </c>
      <c r="E97" s="9" t="s">
        <v>54</v>
      </c>
      <c r="F97" s="9" t="s">
        <v>85</v>
      </c>
      <c r="G97" s="9" t="n">
        <v>200</v>
      </c>
      <c r="H97" s="9" t="s">
        <v>81</v>
      </c>
      <c r="I97" s="10" t="n">
        <v>203.3</v>
      </c>
      <c r="J97" s="10" t="n">
        <v>190</v>
      </c>
      <c r="K97" s="11" t="n">
        <v>190</v>
      </c>
      <c r="L97" s="12" t="n">
        <f aca="false">IFERROR(IF(N(J97)=0,"",(K97-J97)/J97),"")</f>
        <v>0</v>
      </c>
      <c r="M97" s="9" t="s">
        <v>224</v>
      </c>
      <c r="N97" s="9" t="s">
        <v>271</v>
      </c>
      <c r="O97" s="9" t="s">
        <v>59</v>
      </c>
      <c r="P97" s="9" t="s">
        <v>13</v>
      </c>
    </row>
    <row r="98" customFormat="false" ht="15" hidden="false" customHeight="false" outlineLevel="0" collapsed="false">
      <c r="A98" s="9" t="s">
        <v>304</v>
      </c>
      <c r="B98" s="9" t="s">
        <v>305</v>
      </c>
      <c r="C98" s="9" t="n">
        <v>68</v>
      </c>
      <c r="D98" s="9" t="s">
        <v>54</v>
      </c>
      <c r="E98" s="9" t="s">
        <v>54</v>
      </c>
      <c r="F98" s="9" t="s">
        <v>55</v>
      </c>
      <c r="G98" s="9" t="n">
        <v>12</v>
      </c>
      <c r="H98" s="9" t="s">
        <v>85</v>
      </c>
      <c r="I98" s="10" t="n">
        <v>2889</v>
      </c>
      <c r="J98" s="10" t="n">
        <v>2700</v>
      </c>
      <c r="K98" s="11" t="n">
        <v>2700</v>
      </c>
      <c r="L98" s="12" t="n">
        <f aca="false">IFERROR(IF(N(J98)=0,"",(K98-J98)/J98),"")</f>
        <v>0</v>
      </c>
      <c r="M98" s="9" t="s">
        <v>224</v>
      </c>
      <c r="N98" s="9" t="s">
        <v>143</v>
      </c>
      <c r="O98" s="9" t="s">
        <v>59</v>
      </c>
      <c r="P98" s="9" t="s">
        <v>13</v>
      </c>
    </row>
    <row r="99" customFormat="false" ht="15" hidden="false" customHeight="false" outlineLevel="0" collapsed="false">
      <c r="A99" s="9" t="s">
        <v>306</v>
      </c>
      <c r="B99" s="9" t="s">
        <v>307</v>
      </c>
      <c r="C99" s="9" t="n">
        <v>68</v>
      </c>
      <c r="D99" s="9" t="s">
        <v>54</v>
      </c>
      <c r="E99" s="9" t="s">
        <v>54</v>
      </c>
      <c r="F99" s="9" t="s">
        <v>55</v>
      </c>
      <c r="G99" s="9" t="n">
        <v>11340</v>
      </c>
      <c r="H99" s="9" t="s">
        <v>56</v>
      </c>
      <c r="I99" s="10" t="n">
        <v>3424</v>
      </c>
      <c r="J99" s="10" t="n">
        <v>3200</v>
      </c>
      <c r="K99" s="11" t="n">
        <v>3200</v>
      </c>
      <c r="L99" s="12" t="n">
        <f aca="false">IFERROR(IF(N(J99)=0,"",(K99-J99)/J99),"")</f>
        <v>0</v>
      </c>
      <c r="M99" s="9" t="s">
        <v>224</v>
      </c>
      <c r="N99" s="9" t="s">
        <v>308</v>
      </c>
      <c r="O99" s="9" t="s">
        <v>59</v>
      </c>
      <c r="P99" s="9" t="s">
        <v>13</v>
      </c>
    </row>
    <row r="100" customFormat="false" ht="15" hidden="false" customHeight="false" outlineLevel="0" collapsed="false">
      <c r="A100" s="9" t="s">
        <v>309</v>
      </c>
      <c r="B100" s="9" t="s">
        <v>310</v>
      </c>
      <c r="C100" s="9" t="n">
        <v>68</v>
      </c>
      <c r="D100" s="9" t="s">
        <v>54</v>
      </c>
      <c r="E100" s="9" t="s">
        <v>54</v>
      </c>
      <c r="F100" s="9" t="s">
        <v>55</v>
      </c>
      <c r="G100" s="9" t="n">
        <v>1000</v>
      </c>
      <c r="H100" s="9" t="s">
        <v>130</v>
      </c>
      <c r="I100" s="10" t="n">
        <v>3210</v>
      </c>
      <c r="J100" s="10" t="n">
        <v>3000</v>
      </c>
      <c r="K100" s="11" t="n">
        <v>3000</v>
      </c>
      <c r="L100" s="12" t="n">
        <f aca="false">IFERROR(IF(N(J100)=0,"",(K100-J100)/J100),"")</f>
        <v>0</v>
      </c>
      <c r="M100" s="9" t="s">
        <v>224</v>
      </c>
      <c r="N100" s="9" t="s">
        <v>311</v>
      </c>
      <c r="O100" s="9" t="s">
        <v>59</v>
      </c>
      <c r="P100" s="9" t="s">
        <v>13</v>
      </c>
    </row>
    <row r="101" customFormat="false" ht="15" hidden="false" customHeight="false" outlineLevel="0" collapsed="false">
      <c r="A101" s="9" t="s">
        <v>312</v>
      </c>
      <c r="B101" s="9" t="s">
        <v>313</v>
      </c>
      <c r="C101" s="9" t="n">
        <v>68</v>
      </c>
      <c r="D101" s="9" t="s">
        <v>54</v>
      </c>
      <c r="E101" s="9" t="s">
        <v>54</v>
      </c>
      <c r="F101" s="9" t="s">
        <v>55</v>
      </c>
      <c r="G101" s="9" t="n">
        <v>1000</v>
      </c>
      <c r="H101" s="9" t="s">
        <v>130</v>
      </c>
      <c r="I101" s="10" t="n">
        <v>3124.4</v>
      </c>
      <c r="J101" s="10" t="n">
        <v>2920</v>
      </c>
      <c r="K101" s="11" t="n">
        <v>2920</v>
      </c>
      <c r="L101" s="12" t="n">
        <f aca="false">IFERROR(IF(N(J101)=0,"",(K101-J101)/J101),"")</f>
        <v>0</v>
      </c>
      <c r="M101" s="9" t="s">
        <v>224</v>
      </c>
      <c r="N101" s="9" t="s">
        <v>311</v>
      </c>
      <c r="O101" s="9" t="s">
        <v>59</v>
      </c>
      <c r="P101" s="9" t="s">
        <v>13</v>
      </c>
    </row>
    <row r="102" customFormat="false" ht="15" hidden="false" customHeight="false" outlineLevel="0" collapsed="false">
      <c r="A102" s="9" t="s">
        <v>314</v>
      </c>
      <c r="B102" s="9" t="s">
        <v>315</v>
      </c>
      <c r="C102" s="9" t="n">
        <v>68</v>
      </c>
      <c r="D102" s="9" t="s">
        <v>54</v>
      </c>
      <c r="E102" s="9" t="s">
        <v>54</v>
      </c>
      <c r="F102" s="9" t="s">
        <v>55</v>
      </c>
      <c r="G102" s="9" t="n">
        <v>3000</v>
      </c>
      <c r="H102" s="9" t="s">
        <v>130</v>
      </c>
      <c r="I102" s="10" t="n">
        <v>6420</v>
      </c>
      <c r="J102" s="10" t="n">
        <v>6000</v>
      </c>
      <c r="K102" s="11" t="n">
        <v>6000</v>
      </c>
      <c r="L102" s="12" t="n">
        <f aca="false">IFERROR(IF(N(J102)=0,"",(K102-J102)/J102),"")</f>
        <v>0</v>
      </c>
      <c r="M102" s="9" t="s">
        <v>224</v>
      </c>
      <c r="N102" s="9" t="s">
        <v>181</v>
      </c>
      <c r="O102" s="9" t="s">
        <v>59</v>
      </c>
      <c r="P102" s="9" t="s">
        <v>13</v>
      </c>
    </row>
    <row r="103" customFormat="false" ht="15" hidden="false" customHeight="false" outlineLevel="0" collapsed="false">
      <c r="A103" s="9" t="s">
        <v>316</v>
      </c>
      <c r="B103" s="9" t="s">
        <v>317</v>
      </c>
      <c r="C103" s="9" t="n">
        <v>68</v>
      </c>
      <c r="D103" s="9" t="s">
        <v>54</v>
      </c>
      <c r="E103" s="9" t="s">
        <v>54</v>
      </c>
      <c r="F103" s="9" t="s">
        <v>62</v>
      </c>
      <c r="G103" s="9" t="n">
        <v>850</v>
      </c>
      <c r="H103" s="9" t="s">
        <v>56</v>
      </c>
      <c r="I103" s="10" t="n">
        <v>114.49</v>
      </c>
      <c r="J103" s="10" t="n">
        <v>107</v>
      </c>
      <c r="K103" s="11" t="n">
        <v>107</v>
      </c>
      <c r="L103" s="12" t="n">
        <f aca="false">IFERROR(IF(N(J103)=0,"",(K103-J103)/J103),"")</f>
        <v>0</v>
      </c>
      <c r="M103" s="9" t="s">
        <v>224</v>
      </c>
      <c r="N103" s="9" t="s">
        <v>318</v>
      </c>
      <c r="O103" s="9" t="s">
        <v>59</v>
      </c>
      <c r="P103" s="9" t="s">
        <v>13</v>
      </c>
    </row>
    <row r="104" customFormat="false" ht="15" hidden="false" customHeight="false" outlineLevel="0" collapsed="false">
      <c r="A104" s="9" t="s">
        <v>319</v>
      </c>
      <c r="B104" s="9" t="s">
        <v>320</v>
      </c>
      <c r="C104" s="9" t="n">
        <v>68</v>
      </c>
      <c r="D104" s="9" t="s">
        <v>54</v>
      </c>
      <c r="E104" s="9" t="s">
        <v>54</v>
      </c>
      <c r="F104" s="9" t="s">
        <v>106</v>
      </c>
      <c r="G104" s="9" t="n">
        <v>25000</v>
      </c>
      <c r="H104" s="9" t="s">
        <v>56</v>
      </c>
      <c r="I104" s="10" t="n">
        <v>4740.1</v>
      </c>
      <c r="J104" s="10" t="n">
        <v>4430</v>
      </c>
      <c r="K104" s="11" t="n">
        <v>4430</v>
      </c>
      <c r="L104" s="12" t="n">
        <f aca="false">IFERROR(IF(N(J104)=0,"",(K104-J104)/J104),"")</f>
        <v>0</v>
      </c>
      <c r="M104" s="9" t="s">
        <v>224</v>
      </c>
      <c r="N104" s="9" t="s">
        <v>321</v>
      </c>
      <c r="O104" s="9" t="s">
        <v>59</v>
      </c>
      <c r="P104" s="9" t="s">
        <v>13</v>
      </c>
    </row>
    <row r="105" customFormat="false" ht="15" hidden="false" customHeight="false" outlineLevel="0" collapsed="false">
      <c r="A105" s="9" t="s">
        <v>322</v>
      </c>
      <c r="B105" s="9" t="s">
        <v>323</v>
      </c>
      <c r="C105" s="9" t="n">
        <v>68</v>
      </c>
      <c r="D105" s="9" t="s">
        <v>54</v>
      </c>
      <c r="E105" s="9" t="s">
        <v>54</v>
      </c>
      <c r="F105" s="9" t="s">
        <v>81</v>
      </c>
      <c r="G105" s="9" t="n">
        <v>5000</v>
      </c>
      <c r="H105" s="9" t="s">
        <v>56</v>
      </c>
      <c r="I105" s="10" t="n">
        <v>844.48</v>
      </c>
      <c r="J105" s="10" t="n">
        <v>789.2336</v>
      </c>
      <c r="K105" s="11" t="n">
        <v>789.23</v>
      </c>
      <c r="L105" s="12" t="n">
        <f aca="false">IFERROR(IF(N(J105)=0,"",(K105-J105)/J105),"")</f>
        <v>-4.5613871482484E-006</v>
      </c>
      <c r="M105" s="9" t="s">
        <v>224</v>
      </c>
      <c r="N105" s="9" t="s">
        <v>143</v>
      </c>
      <c r="O105" s="9" t="s">
        <v>59</v>
      </c>
      <c r="P105" s="9" t="s">
        <v>13</v>
      </c>
    </row>
    <row r="106" customFormat="false" ht="15" hidden="false" customHeight="false" outlineLevel="0" collapsed="false">
      <c r="A106" s="9" t="s">
        <v>324</v>
      </c>
      <c r="B106" s="9" t="s">
        <v>325</v>
      </c>
      <c r="C106" s="9" t="n">
        <v>68</v>
      </c>
      <c r="D106" s="9" t="s">
        <v>54</v>
      </c>
      <c r="E106" s="9" t="s">
        <v>54</v>
      </c>
      <c r="F106" s="9" t="s">
        <v>55</v>
      </c>
      <c r="G106" s="9" t="n">
        <v>90</v>
      </c>
      <c r="H106" s="9" t="s">
        <v>81</v>
      </c>
      <c r="I106" s="10" t="n">
        <v>927.37</v>
      </c>
      <c r="J106" s="10" t="n">
        <v>866.7009</v>
      </c>
      <c r="K106" s="11" t="n">
        <v>866.7</v>
      </c>
      <c r="L106" s="12" t="n">
        <f aca="false">IFERROR(IF(N(J106)=0,"",(K106-J106)/J106),"")</f>
        <v>-1.03842052085264E-006</v>
      </c>
      <c r="M106" s="9" t="s">
        <v>224</v>
      </c>
      <c r="N106" s="9" t="s">
        <v>326</v>
      </c>
      <c r="O106" s="9" t="s">
        <v>59</v>
      </c>
      <c r="P106" s="9" t="s">
        <v>13</v>
      </c>
    </row>
    <row r="107" customFormat="false" ht="15" hidden="false" customHeight="false" outlineLevel="0" collapsed="false">
      <c r="A107" s="9" t="s">
        <v>327</v>
      </c>
      <c r="B107" s="9" t="s">
        <v>328</v>
      </c>
      <c r="C107" s="9" t="n">
        <v>68</v>
      </c>
      <c r="D107" s="9" t="s">
        <v>54</v>
      </c>
      <c r="E107" s="9" t="s">
        <v>54</v>
      </c>
      <c r="F107" s="9" t="s">
        <v>55</v>
      </c>
      <c r="G107" s="9" t="n">
        <v>40</v>
      </c>
      <c r="H107" s="9" t="s">
        <v>81</v>
      </c>
      <c r="I107" s="10" t="n">
        <v>444.69</v>
      </c>
      <c r="J107" s="10" t="n">
        <v>415.5981</v>
      </c>
      <c r="K107" s="11" t="n">
        <v>415.6</v>
      </c>
      <c r="L107" s="12" t="n">
        <f aca="false">IFERROR(IF(N(J107)=0,"",(K107-J107)/J107),"")</f>
        <v>4.57172446176884E-006</v>
      </c>
      <c r="M107" s="9" t="s">
        <v>224</v>
      </c>
      <c r="N107" s="9" t="s">
        <v>326</v>
      </c>
      <c r="O107" s="9" t="s">
        <v>59</v>
      </c>
      <c r="P107" s="9" t="s">
        <v>13</v>
      </c>
    </row>
    <row r="108" customFormat="false" ht="15" hidden="false" customHeight="false" outlineLevel="0" collapsed="false">
      <c r="A108" s="9" t="s">
        <v>329</v>
      </c>
      <c r="B108" s="9" t="s">
        <v>330</v>
      </c>
      <c r="C108" s="9" t="n">
        <v>68</v>
      </c>
      <c r="D108" s="9" t="s">
        <v>54</v>
      </c>
      <c r="E108" s="9" t="s">
        <v>54</v>
      </c>
      <c r="F108" s="9" t="s">
        <v>85</v>
      </c>
      <c r="G108" s="9" t="n">
        <v>600</v>
      </c>
      <c r="H108" s="9" t="s">
        <v>81</v>
      </c>
      <c r="I108" s="10" t="n">
        <v>3852</v>
      </c>
      <c r="J108" s="10" t="n">
        <v>3600</v>
      </c>
      <c r="K108" s="11" t="n">
        <v>3600</v>
      </c>
      <c r="L108" s="12" t="n">
        <f aca="false">IFERROR(IF(N(J108)=0,"",(K108-J108)/J108),"")</f>
        <v>0</v>
      </c>
      <c r="M108" s="9" t="s">
        <v>224</v>
      </c>
      <c r="N108" s="9" t="s">
        <v>294</v>
      </c>
      <c r="O108" s="9" t="s">
        <v>59</v>
      </c>
      <c r="P108" s="9" t="s">
        <v>13</v>
      </c>
    </row>
    <row r="109" customFormat="false" ht="15" hidden="false" customHeight="false" outlineLevel="0" collapsed="false">
      <c r="A109" s="9" t="s">
        <v>331</v>
      </c>
      <c r="B109" s="9" t="s">
        <v>332</v>
      </c>
      <c r="C109" s="9" t="n">
        <v>68</v>
      </c>
      <c r="D109" s="9" t="s">
        <v>54</v>
      </c>
      <c r="E109" s="9" t="s">
        <v>54</v>
      </c>
      <c r="F109" s="9" t="s">
        <v>62</v>
      </c>
      <c r="G109" s="9" t="n">
        <v>1000</v>
      </c>
      <c r="H109" s="9" t="s">
        <v>56</v>
      </c>
      <c r="I109" s="10" t="n">
        <v>90.95</v>
      </c>
      <c r="J109" s="10" t="n">
        <v>85</v>
      </c>
      <c r="K109" s="11" t="n">
        <v>85</v>
      </c>
      <c r="L109" s="12" t="n">
        <f aca="false">IFERROR(IF(N(J109)=0,"",(K109-J109)/J109),"")</f>
        <v>0</v>
      </c>
      <c r="M109" s="9" t="s">
        <v>224</v>
      </c>
      <c r="N109" s="9" t="s">
        <v>143</v>
      </c>
      <c r="O109" s="9" t="s">
        <v>59</v>
      </c>
      <c r="P109" s="9" t="s">
        <v>13</v>
      </c>
    </row>
    <row r="110" customFormat="false" ht="15" hidden="false" customHeight="false" outlineLevel="0" collapsed="false">
      <c r="A110" s="9" t="s">
        <v>333</v>
      </c>
      <c r="B110" s="9" t="s">
        <v>334</v>
      </c>
      <c r="C110" s="9" t="n">
        <v>68</v>
      </c>
      <c r="D110" s="9" t="s">
        <v>54</v>
      </c>
      <c r="E110" s="9" t="s">
        <v>54</v>
      </c>
      <c r="F110" s="9" t="s">
        <v>106</v>
      </c>
      <c r="G110" s="9" t="n">
        <v>25000</v>
      </c>
      <c r="H110" s="9" t="s">
        <v>56</v>
      </c>
      <c r="I110" s="10" t="n">
        <v>644.78</v>
      </c>
      <c r="J110" s="10" t="n">
        <v>602.5981</v>
      </c>
      <c r="K110" s="11" t="n">
        <v>602.6</v>
      </c>
      <c r="L110" s="12" t="n">
        <f aca="false">IFERROR(IF(N(J110)=0,"",(K110-J110)/J110),"")</f>
        <v>3.15301359227287E-006</v>
      </c>
      <c r="M110" s="9" t="s">
        <v>224</v>
      </c>
      <c r="N110" s="9" t="s">
        <v>335</v>
      </c>
      <c r="O110" s="9" t="s">
        <v>59</v>
      </c>
      <c r="P110" s="9" t="s">
        <v>13</v>
      </c>
    </row>
    <row r="111" customFormat="false" ht="15" hidden="false" customHeight="false" outlineLevel="0" collapsed="false">
      <c r="A111" s="9" t="s">
        <v>336</v>
      </c>
      <c r="B111" s="9" t="s">
        <v>337</v>
      </c>
      <c r="C111" s="9" t="n">
        <v>68</v>
      </c>
      <c r="D111" s="9" t="s">
        <v>54</v>
      </c>
      <c r="E111" s="9" t="s">
        <v>54</v>
      </c>
      <c r="F111" s="9" t="s">
        <v>55</v>
      </c>
      <c r="G111" s="9" t="n">
        <v>6000</v>
      </c>
      <c r="H111" s="9" t="s">
        <v>56</v>
      </c>
      <c r="I111" s="10" t="n">
        <v>1625.87</v>
      </c>
      <c r="J111" s="10" t="n">
        <v>1519.5047</v>
      </c>
      <c r="K111" s="11" t="n">
        <v>1519.5</v>
      </c>
      <c r="L111" s="12" t="n">
        <f aca="false">IFERROR(IF(N(J111)=0,"",(K111-J111)/J111),"")</f>
        <v>-3.09311317033575E-006</v>
      </c>
      <c r="M111" s="9" t="s">
        <v>224</v>
      </c>
      <c r="N111" s="9" t="s">
        <v>143</v>
      </c>
      <c r="O111" s="9" t="s">
        <v>59</v>
      </c>
      <c r="P111" s="9" t="s">
        <v>13</v>
      </c>
    </row>
    <row r="112" customFormat="false" ht="15" hidden="false" customHeight="false" outlineLevel="0" collapsed="false">
      <c r="A112" s="9" t="s">
        <v>338</v>
      </c>
      <c r="B112" s="9" t="s">
        <v>339</v>
      </c>
      <c r="C112" s="9" t="n">
        <v>68</v>
      </c>
      <c r="D112" s="9" t="s">
        <v>54</v>
      </c>
      <c r="E112" s="9" t="s">
        <v>54</v>
      </c>
      <c r="F112" s="9" t="s">
        <v>55</v>
      </c>
      <c r="G112" s="9" t="n">
        <v>10000</v>
      </c>
      <c r="H112" s="9" t="s">
        <v>56</v>
      </c>
      <c r="I112" s="10" t="n">
        <v>1685.25</v>
      </c>
      <c r="J112" s="10" t="n">
        <v>1575</v>
      </c>
      <c r="K112" s="11" t="n">
        <v>1575</v>
      </c>
      <c r="L112" s="12" t="n">
        <f aca="false">IFERROR(IF(N(J112)=0,"",(K112-J112)/J112),"")</f>
        <v>0</v>
      </c>
      <c r="M112" s="9" t="s">
        <v>224</v>
      </c>
      <c r="N112" s="9" t="s">
        <v>143</v>
      </c>
      <c r="O112" s="9" t="s">
        <v>59</v>
      </c>
      <c r="P112" s="9" t="s">
        <v>13</v>
      </c>
    </row>
    <row r="113" customFormat="false" ht="15" hidden="false" customHeight="false" outlineLevel="0" collapsed="false">
      <c r="A113" s="9" t="s">
        <v>340</v>
      </c>
      <c r="B113" s="9" t="s">
        <v>341</v>
      </c>
      <c r="C113" s="9" t="n">
        <v>68</v>
      </c>
      <c r="D113" s="9" t="s">
        <v>54</v>
      </c>
      <c r="E113" s="9" t="s">
        <v>54</v>
      </c>
      <c r="F113" s="9" t="s">
        <v>55</v>
      </c>
      <c r="G113" s="9" t="n">
        <v>6000</v>
      </c>
      <c r="H113" s="9" t="s">
        <v>81</v>
      </c>
      <c r="I113" s="10" t="n">
        <v>1198.4</v>
      </c>
      <c r="J113" s="10" t="n">
        <v>1120</v>
      </c>
      <c r="K113" s="11" t="n">
        <v>1120</v>
      </c>
      <c r="L113" s="12" t="n">
        <f aca="false">IFERROR(IF(N(J113)=0,"",(K113-J113)/J113),"")</f>
        <v>0</v>
      </c>
      <c r="M113" s="9" t="s">
        <v>224</v>
      </c>
      <c r="N113" s="9" t="s">
        <v>294</v>
      </c>
      <c r="O113" s="9" t="s">
        <v>59</v>
      </c>
      <c r="P113" s="9" t="s">
        <v>13</v>
      </c>
    </row>
    <row r="114" customFormat="false" ht="15" hidden="false" customHeight="false" outlineLevel="0" collapsed="false">
      <c r="A114" s="9" t="s">
        <v>342</v>
      </c>
      <c r="B114" s="9" t="s">
        <v>343</v>
      </c>
      <c r="C114" s="9" t="n">
        <v>68</v>
      </c>
      <c r="D114" s="9" t="s">
        <v>54</v>
      </c>
      <c r="E114" s="9" t="s">
        <v>54</v>
      </c>
      <c r="F114" s="9" t="s">
        <v>62</v>
      </c>
      <c r="G114" s="9" t="n">
        <v>50</v>
      </c>
      <c r="H114" s="9" t="s">
        <v>81</v>
      </c>
      <c r="I114" s="10" t="n">
        <v>101.65</v>
      </c>
      <c r="J114" s="10" t="n">
        <v>95</v>
      </c>
      <c r="K114" s="11" t="n">
        <v>95</v>
      </c>
      <c r="L114" s="12" t="n">
        <f aca="false">IFERROR(IF(N(J114)=0,"",(K114-J114)/J114),"")</f>
        <v>0</v>
      </c>
      <c r="M114" s="9" t="s">
        <v>224</v>
      </c>
      <c r="N114" s="9" t="s">
        <v>344</v>
      </c>
      <c r="O114" s="9" t="s">
        <v>59</v>
      </c>
      <c r="P114" s="9" t="s">
        <v>13</v>
      </c>
    </row>
    <row r="115" customFormat="false" ht="15" hidden="false" customHeight="false" outlineLevel="0" collapsed="false">
      <c r="A115" s="9" t="s">
        <v>345</v>
      </c>
      <c r="B115" s="9" t="s">
        <v>346</v>
      </c>
      <c r="C115" s="9" t="n">
        <v>68</v>
      </c>
      <c r="D115" s="9" t="s">
        <v>54</v>
      </c>
      <c r="E115" s="9" t="s">
        <v>54</v>
      </c>
      <c r="F115" s="9" t="s">
        <v>55</v>
      </c>
      <c r="G115" s="9" t="n">
        <v>5000</v>
      </c>
      <c r="H115" s="9" t="s">
        <v>56</v>
      </c>
      <c r="I115" s="10" t="n">
        <v>1337.5</v>
      </c>
      <c r="J115" s="10" t="n">
        <v>1250</v>
      </c>
      <c r="K115" s="11" t="n">
        <v>1250</v>
      </c>
      <c r="L115" s="12" t="n">
        <f aca="false">IFERROR(IF(N(J115)=0,"",(K115-J115)/J115),"")</f>
        <v>0</v>
      </c>
      <c r="M115" s="9" t="s">
        <v>224</v>
      </c>
      <c r="N115" s="9" t="s">
        <v>347</v>
      </c>
      <c r="O115" s="9" t="s">
        <v>59</v>
      </c>
      <c r="P115" s="9" t="s">
        <v>13</v>
      </c>
    </row>
    <row r="116" customFormat="false" ht="15" hidden="false" customHeight="false" outlineLevel="0" collapsed="false">
      <c r="A116" s="9" t="s">
        <v>348</v>
      </c>
      <c r="B116" s="9" t="s">
        <v>349</v>
      </c>
      <c r="C116" s="9" t="n">
        <v>68</v>
      </c>
      <c r="D116" s="9" t="s">
        <v>54</v>
      </c>
      <c r="E116" s="9" t="s">
        <v>54</v>
      </c>
      <c r="F116" s="9" t="s">
        <v>55</v>
      </c>
      <c r="G116" s="9" t="n">
        <v>100</v>
      </c>
      <c r="H116" s="9" t="s">
        <v>81</v>
      </c>
      <c r="I116" s="10" t="n">
        <v>540.35</v>
      </c>
      <c r="J116" s="10" t="n">
        <v>505</v>
      </c>
      <c r="K116" s="11" t="n">
        <v>505</v>
      </c>
      <c r="L116" s="12" t="n">
        <f aca="false">IFERROR(IF(N(J116)=0,"",(K116-J116)/J116),"")</f>
        <v>0</v>
      </c>
      <c r="M116" s="9" t="s">
        <v>224</v>
      </c>
      <c r="N116" s="9" t="s">
        <v>92</v>
      </c>
      <c r="O116" s="9" t="s">
        <v>59</v>
      </c>
      <c r="P116" s="9" t="s">
        <v>13</v>
      </c>
    </row>
    <row r="117" customFormat="false" ht="15" hidden="false" customHeight="false" outlineLevel="0" collapsed="false">
      <c r="A117" s="9" t="s">
        <v>350</v>
      </c>
      <c r="B117" s="9" t="s">
        <v>351</v>
      </c>
      <c r="C117" s="9" t="n">
        <v>68</v>
      </c>
      <c r="D117" s="9" t="s">
        <v>54</v>
      </c>
      <c r="E117" s="9" t="s">
        <v>54</v>
      </c>
      <c r="F117" s="9" t="s">
        <v>74</v>
      </c>
      <c r="G117" s="9" t="n">
        <v>1500</v>
      </c>
      <c r="H117" s="9" t="s">
        <v>130</v>
      </c>
      <c r="I117" s="10" t="n">
        <v>1155.6</v>
      </c>
      <c r="J117" s="10" t="n">
        <v>1080</v>
      </c>
      <c r="K117" s="11" t="n">
        <v>1080</v>
      </c>
      <c r="L117" s="12" t="n">
        <f aca="false">IFERROR(IF(N(J117)=0,"",(K117-J117)/J117),"")</f>
        <v>0</v>
      </c>
      <c r="M117" s="9" t="s">
        <v>224</v>
      </c>
      <c r="N117" s="9" t="s">
        <v>181</v>
      </c>
      <c r="O117" s="9" t="s">
        <v>59</v>
      </c>
      <c r="P117" s="9" t="s">
        <v>13</v>
      </c>
    </row>
    <row r="118" customFormat="false" ht="15" hidden="false" customHeight="false" outlineLevel="0" collapsed="false">
      <c r="A118" s="9" t="s">
        <v>352</v>
      </c>
      <c r="B118" s="9" t="s">
        <v>353</v>
      </c>
      <c r="C118" s="9" t="n">
        <v>68</v>
      </c>
      <c r="D118" s="9" t="s">
        <v>54</v>
      </c>
      <c r="E118" s="9" t="s">
        <v>54</v>
      </c>
      <c r="F118" s="9" t="s">
        <v>81</v>
      </c>
      <c r="G118" s="9" t="n">
        <v>500</v>
      </c>
      <c r="H118" s="9" t="s">
        <v>56</v>
      </c>
      <c r="I118" s="10" t="n">
        <v>77.93</v>
      </c>
      <c r="J118" s="10" t="n">
        <v>72.8318</v>
      </c>
      <c r="K118" s="11" t="n">
        <v>72.83</v>
      </c>
      <c r="L118" s="12" t="n">
        <f aca="false">IFERROR(IF(N(J118)=0,"",(K118-J118)/J118),"")</f>
        <v>-2.47144791149321E-005</v>
      </c>
      <c r="M118" s="9" t="s">
        <v>224</v>
      </c>
      <c r="N118" s="9" t="s">
        <v>260</v>
      </c>
      <c r="O118" s="9" t="s">
        <v>59</v>
      </c>
      <c r="P118" s="9" t="s">
        <v>13</v>
      </c>
    </row>
    <row r="119" customFormat="false" ht="15" hidden="false" customHeight="false" outlineLevel="0" collapsed="false">
      <c r="A119" s="9" t="s">
        <v>354</v>
      </c>
      <c r="B119" s="9" t="s">
        <v>355</v>
      </c>
      <c r="C119" s="9" t="n">
        <v>68</v>
      </c>
      <c r="D119" s="9" t="s">
        <v>54</v>
      </c>
      <c r="E119" s="9" t="s">
        <v>54</v>
      </c>
      <c r="F119" s="9" t="s">
        <v>55</v>
      </c>
      <c r="G119" s="9" t="n">
        <v>15000</v>
      </c>
      <c r="H119" s="9" t="s">
        <v>56</v>
      </c>
      <c r="I119" s="10" t="n">
        <v>946.95</v>
      </c>
      <c r="J119" s="10" t="n">
        <v>885</v>
      </c>
      <c r="K119" s="11" t="n">
        <v>885</v>
      </c>
      <c r="L119" s="12" t="n">
        <f aca="false">IFERROR(IF(N(J119)=0,"",(K119-J119)/J119),"")</f>
        <v>0</v>
      </c>
      <c r="M119" s="9" t="s">
        <v>224</v>
      </c>
      <c r="N119" s="9" t="s">
        <v>188</v>
      </c>
      <c r="O119" s="9" t="s">
        <v>59</v>
      </c>
      <c r="P119" s="9" t="s">
        <v>13</v>
      </c>
    </row>
    <row r="120" customFormat="false" ht="15" hidden="false" customHeight="false" outlineLevel="0" collapsed="false">
      <c r="A120" s="9" t="s">
        <v>356</v>
      </c>
      <c r="B120" s="9" t="s">
        <v>357</v>
      </c>
      <c r="C120" s="9" t="n">
        <v>68</v>
      </c>
      <c r="D120" s="9" t="s">
        <v>54</v>
      </c>
      <c r="E120" s="9" t="s">
        <v>54</v>
      </c>
      <c r="F120" s="9" t="s">
        <v>55</v>
      </c>
      <c r="G120" s="9" t="n">
        <v>10</v>
      </c>
      <c r="H120" s="9" t="s">
        <v>81</v>
      </c>
      <c r="I120" s="10" t="n">
        <v>1194.65</v>
      </c>
      <c r="J120" s="10" t="n">
        <v>1116.4953</v>
      </c>
      <c r="K120" s="11" t="n">
        <v>1116.5</v>
      </c>
      <c r="L120" s="12" t="n">
        <f aca="false">IFERROR(IF(N(J120)=0,"",(K120-J120)/J120),"")</f>
        <v>4.20960124055791E-006</v>
      </c>
      <c r="M120" s="9" t="s">
        <v>224</v>
      </c>
      <c r="N120" s="9" t="s">
        <v>143</v>
      </c>
      <c r="O120" s="9" t="s">
        <v>59</v>
      </c>
      <c r="P120" s="9" t="s">
        <v>13</v>
      </c>
    </row>
    <row r="121" customFormat="false" ht="15" hidden="false" customHeight="false" outlineLevel="0" collapsed="false">
      <c r="A121" s="9" t="s">
        <v>358</v>
      </c>
      <c r="B121" s="9" t="s">
        <v>359</v>
      </c>
      <c r="C121" s="9" t="n">
        <v>68</v>
      </c>
      <c r="D121" s="9" t="s">
        <v>54</v>
      </c>
      <c r="E121" s="9" t="s">
        <v>54</v>
      </c>
      <c r="F121" s="9" t="s">
        <v>55</v>
      </c>
      <c r="G121" s="9" t="n">
        <v>200</v>
      </c>
      <c r="H121" s="9" t="s">
        <v>81</v>
      </c>
      <c r="I121" s="10" t="n">
        <v>813.2</v>
      </c>
      <c r="J121" s="10" t="n">
        <v>760</v>
      </c>
      <c r="K121" s="11" t="n">
        <v>760</v>
      </c>
      <c r="L121" s="12" t="n">
        <f aca="false">IFERROR(IF(N(J121)=0,"",(K121-J121)/J121),"")</f>
        <v>0</v>
      </c>
      <c r="M121" s="9" t="s">
        <v>224</v>
      </c>
      <c r="N121" s="9" t="s">
        <v>92</v>
      </c>
      <c r="O121" s="9" t="s">
        <v>59</v>
      </c>
      <c r="P121" s="9" t="s">
        <v>13</v>
      </c>
    </row>
    <row r="122" customFormat="false" ht="15" hidden="false" customHeight="false" outlineLevel="0" collapsed="false">
      <c r="A122" s="9" t="s">
        <v>360</v>
      </c>
      <c r="B122" s="9" t="s">
        <v>361</v>
      </c>
      <c r="C122" s="9" t="n">
        <v>68</v>
      </c>
      <c r="D122" s="9" t="s">
        <v>54</v>
      </c>
      <c r="E122" s="9" t="s">
        <v>54</v>
      </c>
      <c r="F122" s="9" t="s">
        <v>55</v>
      </c>
      <c r="G122" s="9" t="n">
        <v>240</v>
      </c>
      <c r="H122" s="9" t="s">
        <v>81</v>
      </c>
      <c r="I122" s="10" t="n">
        <v>963</v>
      </c>
      <c r="J122" s="10" t="n">
        <v>900</v>
      </c>
      <c r="K122" s="11" t="n">
        <v>900</v>
      </c>
      <c r="L122" s="12" t="n">
        <f aca="false">IFERROR(IF(N(J122)=0,"",(K122-J122)/J122),"")</f>
        <v>0</v>
      </c>
      <c r="M122" s="9" t="s">
        <v>224</v>
      </c>
      <c r="N122" s="9" t="s">
        <v>92</v>
      </c>
      <c r="O122" s="9" t="s">
        <v>59</v>
      </c>
      <c r="P122" s="9" t="s">
        <v>13</v>
      </c>
    </row>
    <row r="123" customFormat="false" ht="15" hidden="false" customHeight="false" outlineLevel="0" collapsed="false">
      <c r="A123" s="9" t="s">
        <v>362</v>
      </c>
      <c r="B123" s="9" t="s">
        <v>363</v>
      </c>
      <c r="C123" s="9" t="n">
        <v>68</v>
      </c>
      <c r="D123" s="9" t="s">
        <v>54</v>
      </c>
      <c r="E123" s="9" t="s">
        <v>54</v>
      </c>
      <c r="F123" s="9" t="s">
        <v>55</v>
      </c>
      <c r="G123" s="9" t="n">
        <v>240</v>
      </c>
      <c r="H123" s="9" t="s">
        <v>81</v>
      </c>
      <c r="I123" s="10" t="n">
        <v>963</v>
      </c>
      <c r="J123" s="10" t="n">
        <v>900</v>
      </c>
      <c r="K123" s="11" t="n">
        <v>900</v>
      </c>
      <c r="L123" s="12" t="n">
        <f aca="false">IFERROR(IF(N(J123)=0,"",(K123-J123)/J123),"")</f>
        <v>0</v>
      </c>
      <c r="M123" s="9" t="s">
        <v>224</v>
      </c>
      <c r="N123" s="9" t="s">
        <v>92</v>
      </c>
      <c r="O123" s="9" t="s">
        <v>59</v>
      </c>
      <c r="P123" s="9" t="s">
        <v>13</v>
      </c>
    </row>
    <row r="124" customFormat="false" ht="15" hidden="false" customHeight="false" outlineLevel="0" collapsed="false">
      <c r="A124" s="9" t="s">
        <v>364</v>
      </c>
      <c r="B124" s="9" t="s">
        <v>365</v>
      </c>
      <c r="C124" s="9" t="n">
        <v>68</v>
      </c>
      <c r="D124" s="9" t="s">
        <v>54</v>
      </c>
      <c r="E124" s="9" t="s">
        <v>54</v>
      </c>
      <c r="F124" s="9" t="s">
        <v>74</v>
      </c>
      <c r="G124" s="9" t="n">
        <v>20</v>
      </c>
      <c r="H124" s="9" t="s">
        <v>81</v>
      </c>
      <c r="I124" s="10" t="n">
        <v>149.8</v>
      </c>
      <c r="J124" s="10" t="n">
        <v>140</v>
      </c>
      <c r="K124" s="11" t="n">
        <v>140</v>
      </c>
      <c r="L124" s="12" t="n">
        <f aca="false">IFERROR(IF(N(J124)=0,"",(K124-J124)/J124),"")</f>
        <v>0</v>
      </c>
      <c r="M124" s="9" t="s">
        <v>224</v>
      </c>
      <c r="N124" s="9" t="s">
        <v>143</v>
      </c>
      <c r="O124" s="9" t="s">
        <v>59</v>
      </c>
      <c r="P124" s="9" t="s">
        <v>13</v>
      </c>
    </row>
    <row r="125" customFormat="false" ht="15" hidden="false" customHeight="false" outlineLevel="0" collapsed="false">
      <c r="A125" s="9" t="s">
        <v>366</v>
      </c>
      <c r="B125" s="9" t="s">
        <v>367</v>
      </c>
      <c r="C125" s="9" t="s">
        <v>70</v>
      </c>
      <c r="D125" s="9" t="s">
        <v>54</v>
      </c>
      <c r="E125" s="9" t="s">
        <v>368</v>
      </c>
      <c r="F125" s="9"/>
      <c r="G125" s="9"/>
      <c r="H125" s="9"/>
      <c r="I125" s="10"/>
      <c r="J125" s="10"/>
      <c r="K125" s="11"/>
      <c r="L125" s="12" t="str">
        <f aca="false">IFERROR(IF(N(J125)=0,"",(K125-J125)/J125),"")</f>
        <v/>
      </c>
      <c r="M125" s="14" t="s">
        <v>201</v>
      </c>
      <c r="N125" s="9" t="s">
        <v>202</v>
      </c>
      <c r="O125" s="9" t="s">
        <v>59</v>
      </c>
      <c r="P125" s="9" t="s">
        <v>13</v>
      </c>
    </row>
    <row r="126" customFormat="false" ht="15" hidden="false" customHeight="false" outlineLevel="0" collapsed="false">
      <c r="A126" s="9" t="s">
        <v>369</v>
      </c>
      <c r="B126" s="9" t="s">
        <v>370</v>
      </c>
      <c r="C126" s="9" t="s">
        <v>70</v>
      </c>
      <c r="D126" s="9" t="s">
        <v>54</v>
      </c>
      <c r="E126" s="9" t="s">
        <v>368</v>
      </c>
      <c r="F126" s="9"/>
      <c r="G126" s="9"/>
      <c r="H126" s="9"/>
      <c r="I126" s="10"/>
      <c r="J126" s="10"/>
      <c r="K126" s="11"/>
      <c r="L126" s="12" t="str">
        <f aca="false">IFERROR(IF(N(J126)=0,"",(K126-J126)/J126),"")</f>
        <v/>
      </c>
      <c r="M126" s="14" t="s">
        <v>201</v>
      </c>
      <c r="N126" s="9" t="s">
        <v>211</v>
      </c>
      <c r="O126" s="9" t="s">
        <v>87</v>
      </c>
      <c r="P126" s="9" t="s">
        <v>13</v>
      </c>
    </row>
    <row r="127" customFormat="false" ht="15" hidden="false" customHeight="false" outlineLevel="0" collapsed="false">
      <c r="A127" s="9" t="s">
        <v>371</v>
      </c>
      <c r="B127" s="9" t="s">
        <v>372</v>
      </c>
      <c r="C127" s="9" t="s">
        <v>70</v>
      </c>
      <c r="D127" s="9" t="s">
        <v>54</v>
      </c>
      <c r="E127" s="9" t="s">
        <v>368</v>
      </c>
      <c r="F127" s="9"/>
      <c r="G127" s="9"/>
      <c r="H127" s="9"/>
      <c r="I127" s="10"/>
      <c r="J127" s="10"/>
      <c r="K127" s="11"/>
      <c r="L127" s="12" t="str">
        <f aca="false">IFERROR(IF(N(J127)=0,"",(K127-J127)/J127),"")</f>
        <v/>
      </c>
      <c r="M127" s="14" t="s">
        <v>201</v>
      </c>
      <c r="N127" s="9" t="s">
        <v>202</v>
      </c>
      <c r="O127" s="9" t="s">
        <v>59</v>
      </c>
      <c r="P127" s="9" t="s">
        <v>13</v>
      </c>
    </row>
    <row r="128" customFormat="false" ht="15" hidden="false" customHeight="false" outlineLevel="0" collapsed="false">
      <c r="A128" s="9" t="s">
        <v>373</v>
      </c>
      <c r="B128" s="9" t="s">
        <v>374</v>
      </c>
      <c r="C128" s="9" t="s">
        <v>70</v>
      </c>
      <c r="D128" s="9" t="s">
        <v>54</v>
      </c>
      <c r="E128" s="9" t="s">
        <v>368</v>
      </c>
      <c r="F128" s="9"/>
      <c r="G128" s="9"/>
      <c r="H128" s="9"/>
      <c r="I128" s="10"/>
      <c r="J128" s="10"/>
      <c r="K128" s="11"/>
      <c r="L128" s="12" t="str">
        <f aca="false">IFERROR(IF(N(J128)=0,"",(K128-J128)/J128),"")</f>
        <v/>
      </c>
      <c r="M128" s="14" t="s">
        <v>201</v>
      </c>
      <c r="N128" s="9" t="s">
        <v>202</v>
      </c>
      <c r="O128" s="9" t="s">
        <v>59</v>
      </c>
      <c r="P128" s="9" t="s">
        <v>13</v>
      </c>
    </row>
    <row r="129" customFormat="false" ht="15" hidden="false" customHeight="false" outlineLevel="0" collapsed="false">
      <c r="A129" s="9" t="s">
        <v>375</v>
      </c>
      <c r="B129" s="9" t="s">
        <v>376</v>
      </c>
      <c r="C129" s="9" t="s">
        <v>70</v>
      </c>
      <c r="D129" s="9" t="s">
        <v>54</v>
      </c>
      <c r="E129" s="9" t="s">
        <v>368</v>
      </c>
      <c r="F129" s="9"/>
      <c r="G129" s="9"/>
      <c r="H129" s="9"/>
      <c r="I129" s="10"/>
      <c r="J129" s="10"/>
      <c r="K129" s="11"/>
      <c r="L129" s="12" t="str">
        <f aca="false">IFERROR(IF(N(J129)=0,"",(K129-J129)/J129),"")</f>
        <v/>
      </c>
      <c r="M129" s="14" t="s">
        <v>201</v>
      </c>
      <c r="N129" s="9" t="s">
        <v>202</v>
      </c>
      <c r="O129" s="9" t="s">
        <v>59</v>
      </c>
      <c r="P129" s="9" t="s">
        <v>13</v>
      </c>
    </row>
    <row r="130" customFormat="false" ht="15" hidden="false" customHeight="false" outlineLevel="0" collapsed="false">
      <c r="A130" s="9" t="s">
        <v>377</v>
      </c>
      <c r="B130" s="9" t="s">
        <v>378</v>
      </c>
      <c r="C130" s="9" t="s">
        <v>70</v>
      </c>
      <c r="D130" s="9" t="s">
        <v>54</v>
      </c>
      <c r="E130" s="9" t="s">
        <v>368</v>
      </c>
      <c r="F130" s="9"/>
      <c r="G130" s="9"/>
      <c r="H130" s="9"/>
      <c r="I130" s="10"/>
      <c r="J130" s="10"/>
      <c r="K130" s="11"/>
      <c r="L130" s="12" t="str">
        <f aca="false">IFERROR(IF(N(J130)=0,"",(K130-J130)/J130),"")</f>
        <v/>
      </c>
      <c r="M130" s="14" t="s">
        <v>201</v>
      </c>
      <c r="N130" s="9" t="s">
        <v>211</v>
      </c>
      <c r="O130" s="9" t="s">
        <v>87</v>
      </c>
      <c r="P130" s="9" t="s">
        <v>13</v>
      </c>
    </row>
    <row r="131" customFormat="false" ht="15" hidden="false" customHeight="false" outlineLevel="0" collapsed="false">
      <c r="A131" s="9" t="s">
        <v>379</v>
      </c>
      <c r="B131" s="9" t="s">
        <v>380</v>
      </c>
      <c r="C131" s="9" t="s">
        <v>70</v>
      </c>
      <c r="D131" s="9" t="s">
        <v>54</v>
      </c>
      <c r="E131" s="9" t="s">
        <v>368</v>
      </c>
      <c r="F131" s="9"/>
      <c r="G131" s="9"/>
      <c r="H131" s="9"/>
      <c r="I131" s="10"/>
      <c r="J131" s="10"/>
      <c r="K131" s="11"/>
      <c r="L131" s="12" t="str">
        <f aca="false">IFERROR(IF(N(J131)=0,"",(K131-J131)/J131),"")</f>
        <v/>
      </c>
      <c r="M131" s="14" t="s">
        <v>201</v>
      </c>
      <c r="N131" s="9" t="s">
        <v>211</v>
      </c>
      <c r="O131" s="9" t="s">
        <v>87</v>
      </c>
      <c r="P131" s="9" t="s">
        <v>13</v>
      </c>
    </row>
    <row r="132" customFormat="false" ht="15" hidden="false" customHeight="false" outlineLevel="0" collapsed="false">
      <c r="A132" s="9" t="s">
        <v>381</v>
      </c>
      <c r="B132" s="9" t="s">
        <v>382</v>
      </c>
      <c r="C132" s="9" t="s">
        <v>70</v>
      </c>
      <c r="D132" s="9" t="s">
        <v>54</v>
      </c>
      <c r="E132" s="9" t="s">
        <v>368</v>
      </c>
      <c r="F132" s="9"/>
      <c r="G132" s="9"/>
      <c r="H132" s="9"/>
      <c r="I132" s="10"/>
      <c r="J132" s="10"/>
      <c r="K132" s="11"/>
      <c r="L132" s="12" t="str">
        <f aca="false">IFERROR(IF(N(J132)=0,"",(K132-J132)/J132),"")</f>
        <v/>
      </c>
      <c r="M132" s="14" t="s">
        <v>201</v>
      </c>
      <c r="N132" s="9" t="s">
        <v>202</v>
      </c>
      <c r="O132" s="9" t="s">
        <v>59</v>
      </c>
      <c r="P132" s="9" t="s">
        <v>13</v>
      </c>
    </row>
    <row r="133" customFormat="false" ht="15" hidden="false" customHeight="false" outlineLevel="0" collapsed="false">
      <c r="A133" s="9" t="s">
        <v>383</v>
      </c>
      <c r="B133" s="9" t="s">
        <v>384</v>
      </c>
      <c r="C133" s="9" t="s">
        <v>70</v>
      </c>
      <c r="D133" s="9" t="s">
        <v>54</v>
      </c>
      <c r="E133" s="9" t="s">
        <v>368</v>
      </c>
      <c r="F133" s="9"/>
      <c r="G133" s="9"/>
      <c r="H133" s="9"/>
      <c r="I133" s="10"/>
      <c r="J133" s="10"/>
      <c r="K133" s="11"/>
      <c r="L133" s="12" t="str">
        <f aca="false">IFERROR(IF(N(J133)=0,"",(K133-J133)/J133),"")</f>
        <v/>
      </c>
      <c r="M133" s="14" t="s">
        <v>201</v>
      </c>
      <c r="N133" s="9" t="s">
        <v>211</v>
      </c>
      <c r="O133" s="9" t="s">
        <v>87</v>
      </c>
      <c r="P133" s="9" t="s">
        <v>13</v>
      </c>
    </row>
    <row r="134" customFormat="false" ht="15" hidden="false" customHeight="false" outlineLevel="0" collapsed="false">
      <c r="A134" s="9" t="s">
        <v>385</v>
      </c>
      <c r="B134" s="9" t="s">
        <v>386</v>
      </c>
      <c r="C134" s="9" t="s">
        <v>70</v>
      </c>
      <c r="D134" s="9" t="s">
        <v>54</v>
      </c>
      <c r="E134" s="9" t="s">
        <v>368</v>
      </c>
      <c r="F134" s="9"/>
      <c r="G134" s="9"/>
      <c r="H134" s="9"/>
      <c r="I134" s="10"/>
      <c r="J134" s="10"/>
      <c r="K134" s="11"/>
      <c r="L134" s="12" t="str">
        <f aca="false">IFERROR(IF(N(J134)=0,"",(K134-J134)/J134),"")</f>
        <v/>
      </c>
      <c r="M134" s="14" t="s">
        <v>201</v>
      </c>
      <c r="N134" s="9" t="s">
        <v>202</v>
      </c>
      <c r="O134" s="9" t="s">
        <v>59</v>
      </c>
      <c r="P134" s="9" t="s">
        <v>13</v>
      </c>
    </row>
    <row r="135" customFormat="false" ht="15" hidden="false" customHeight="false" outlineLevel="0" collapsed="false">
      <c r="A135" s="9" t="s">
        <v>387</v>
      </c>
      <c r="B135" s="9" t="s">
        <v>388</v>
      </c>
      <c r="C135" s="9" t="s">
        <v>70</v>
      </c>
      <c r="D135" s="9" t="s">
        <v>54</v>
      </c>
      <c r="E135" s="9" t="s">
        <v>368</v>
      </c>
      <c r="F135" s="9"/>
      <c r="G135" s="9"/>
      <c r="H135" s="9"/>
      <c r="I135" s="10"/>
      <c r="J135" s="10"/>
      <c r="K135" s="11"/>
      <c r="L135" s="12" t="str">
        <f aca="false">IFERROR(IF(N(J135)=0,"",(K135-J135)/J135),"")</f>
        <v/>
      </c>
      <c r="M135" s="14" t="s">
        <v>201</v>
      </c>
      <c r="N135" s="9" t="s">
        <v>202</v>
      </c>
      <c r="O135" s="9" t="s">
        <v>59</v>
      </c>
      <c r="P135" s="9" t="s">
        <v>13</v>
      </c>
    </row>
    <row r="136" customFormat="false" ht="15" hidden="false" customHeight="false" outlineLevel="0" collapsed="false">
      <c r="A136" s="9" t="s">
        <v>389</v>
      </c>
      <c r="B136" s="9" t="s">
        <v>390</v>
      </c>
      <c r="C136" s="9" t="s">
        <v>70</v>
      </c>
      <c r="D136" s="9" t="s">
        <v>54</v>
      </c>
      <c r="E136" s="9" t="s">
        <v>368</v>
      </c>
      <c r="F136" s="9"/>
      <c r="G136" s="9"/>
      <c r="H136" s="9"/>
      <c r="I136" s="10"/>
      <c r="J136" s="10"/>
      <c r="K136" s="11"/>
      <c r="L136" s="12" t="str">
        <f aca="false">IFERROR(IF(N(J136)=0,"",(K136-J136)/J136),"")</f>
        <v/>
      </c>
      <c r="M136" s="14" t="s">
        <v>201</v>
      </c>
      <c r="N136" s="9" t="s">
        <v>202</v>
      </c>
      <c r="O136" s="9" t="s">
        <v>59</v>
      </c>
      <c r="P136" s="9" t="s">
        <v>13</v>
      </c>
    </row>
    <row r="137" customFormat="false" ht="15" hidden="false" customHeight="false" outlineLevel="0" collapsed="false">
      <c r="A137" s="9" t="s">
        <v>391</v>
      </c>
      <c r="B137" s="9" t="s">
        <v>392</v>
      </c>
      <c r="C137" s="9" t="s">
        <v>70</v>
      </c>
      <c r="D137" s="9" t="s">
        <v>54</v>
      </c>
      <c r="E137" s="9" t="s">
        <v>368</v>
      </c>
      <c r="F137" s="9"/>
      <c r="G137" s="9"/>
      <c r="H137" s="9"/>
      <c r="I137" s="10"/>
      <c r="J137" s="10"/>
      <c r="K137" s="11"/>
      <c r="L137" s="12" t="str">
        <f aca="false">IFERROR(IF(N(J137)=0,"",(K137-J137)/J137),"")</f>
        <v/>
      </c>
      <c r="M137" s="14" t="s">
        <v>201</v>
      </c>
      <c r="N137" s="9" t="s">
        <v>211</v>
      </c>
      <c r="O137" s="9" t="s">
        <v>87</v>
      </c>
      <c r="P137" s="9" t="s">
        <v>13</v>
      </c>
    </row>
    <row r="138" customFormat="false" ht="15" hidden="false" customHeight="false" outlineLevel="0" collapsed="false">
      <c r="A138" s="9" t="s">
        <v>393</v>
      </c>
      <c r="B138" s="9" t="s">
        <v>394</v>
      </c>
      <c r="C138" s="9" t="s">
        <v>70</v>
      </c>
      <c r="D138" s="9" t="s">
        <v>54</v>
      </c>
      <c r="E138" s="9" t="s">
        <v>368</v>
      </c>
      <c r="F138" s="9"/>
      <c r="G138" s="9"/>
      <c r="H138" s="9"/>
      <c r="I138" s="10"/>
      <c r="J138" s="10"/>
      <c r="K138" s="11"/>
      <c r="L138" s="12" t="str">
        <f aca="false">IFERROR(IF(N(J138)=0,"",(K138-J138)/J138),"")</f>
        <v/>
      </c>
      <c r="M138" s="14" t="s">
        <v>201</v>
      </c>
      <c r="N138" s="9" t="s">
        <v>202</v>
      </c>
      <c r="O138" s="9" t="s">
        <v>59</v>
      </c>
      <c r="P138" s="9" t="s">
        <v>13</v>
      </c>
    </row>
    <row r="139" customFormat="false" ht="15" hidden="false" customHeight="false" outlineLevel="0" collapsed="false">
      <c r="A139" s="9" t="s">
        <v>395</v>
      </c>
      <c r="B139" s="9" t="s">
        <v>396</v>
      </c>
      <c r="C139" s="9" t="s">
        <v>70</v>
      </c>
      <c r="D139" s="9" t="s">
        <v>54</v>
      </c>
      <c r="E139" s="9" t="s">
        <v>368</v>
      </c>
      <c r="F139" s="9"/>
      <c r="G139" s="9"/>
      <c r="H139" s="9"/>
      <c r="I139" s="10"/>
      <c r="J139" s="10"/>
      <c r="K139" s="11"/>
      <c r="L139" s="12" t="str">
        <f aca="false">IFERROR(IF(N(J139)=0,"",(K139-J139)/J139),"")</f>
        <v/>
      </c>
      <c r="M139" s="14" t="s">
        <v>201</v>
      </c>
      <c r="N139" s="9" t="s">
        <v>211</v>
      </c>
      <c r="O139" s="9" t="s">
        <v>87</v>
      </c>
      <c r="P139" s="9" t="s">
        <v>13</v>
      </c>
    </row>
    <row r="140" customFormat="false" ht="15" hidden="false" customHeight="false" outlineLevel="0" collapsed="false">
      <c r="A140" s="9" t="s">
        <v>397</v>
      </c>
      <c r="B140" s="9" t="s">
        <v>398</v>
      </c>
      <c r="C140" s="9" t="s">
        <v>70</v>
      </c>
      <c r="D140" s="9" t="s">
        <v>54</v>
      </c>
      <c r="E140" s="9" t="s">
        <v>368</v>
      </c>
      <c r="F140" s="9"/>
      <c r="G140" s="9"/>
      <c r="H140" s="9"/>
      <c r="I140" s="10"/>
      <c r="J140" s="10"/>
      <c r="K140" s="11"/>
      <c r="L140" s="12" t="str">
        <f aca="false">IFERROR(IF(N(J140)=0,"",(K140-J140)/J140),"")</f>
        <v/>
      </c>
      <c r="M140" s="14" t="s">
        <v>201</v>
      </c>
      <c r="N140" s="9" t="s">
        <v>202</v>
      </c>
      <c r="O140" s="9" t="s">
        <v>59</v>
      </c>
      <c r="P140" s="9" t="s">
        <v>13</v>
      </c>
    </row>
    <row r="141" customFormat="false" ht="15" hidden="false" customHeight="false" outlineLevel="0" collapsed="false">
      <c r="A141" s="9" t="s">
        <v>399</v>
      </c>
      <c r="B141" s="9" t="s">
        <v>400</v>
      </c>
      <c r="C141" s="9" t="s">
        <v>70</v>
      </c>
      <c r="D141" s="9" t="s">
        <v>54</v>
      </c>
      <c r="E141" s="9" t="s">
        <v>368</v>
      </c>
      <c r="F141" s="9"/>
      <c r="G141" s="9"/>
      <c r="H141" s="9"/>
      <c r="I141" s="10"/>
      <c r="J141" s="10"/>
      <c r="K141" s="11"/>
      <c r="L141" s="12" t="str">
        <f aca="false">IFERROR(IF(N(J141)=0,"",(K141-J141)/J141),"")</f>
        <v/>
      </c>
      <c r="M141" s="14" t="s">
        <v>201</v>
      </c>
      <c r="N141" s="9" t="s">
        <v>211</v>
      </c>
      <c r="O141" s="9" t="s">
        <v>87</v>
      </c>
      <c r="P141" s="9" t="s">
        <v>13</v>
      </c>
    </row>
    <row r="142" customFormat="false" ht="15" hidden="false" customHeight="false" outlineLevel="0" collapsed="false">
      <c r="A142" s="9" t="s">
        <v>401</v>
      </c>
      <c r="B142" s="9" t="s">
        <v>402</v>
      </c>
      <c r="C142" s="9" t="s">
        <v>70</v>
      </c>
      <c r="D142" s="9" t="s">
        <v>54</v>
      </c>
      <c r="E142" s="9" t="s">
        <v>368</v>
      </c>
      <c r="F142" s="9"/>
      <c r="G142" s="9"/>
      <c r="H142" s="9"/>
      <c r="I142" s="10"/>
      <c r="J142" s="10"/>
      <c r="K142" s="11"/>
      <c r="L142" s="12" t="str">
        <f aca="false">IFERROR(IF(N(J142)=0,"",(K142-J142)/J142),"")</f>
        <v/>
      </c>
      <c r="M142" s="14" t="s">
        <v>201</v>
      </c>
      <c r="N142" s="9" t="s">
        <v>211</v>
      </c>
      <c r="O142" s="9" t="s">
        <v>87</v>
      </c>
      <c r="P142" s="9" t="s">
        <v>13</v>
      </c>
    </row>
    <row r="143" customFormat="false" ht="15" hidden="false" customHeight="false" outlineLevel="0" collapsed="false">
      <c r="A143" s="9" t="s">
        <v>403</v>
      </c>
      <c r="B143" s="9" t="s">
        <v>404</v>
      </c>
      <c r="C143" s="9" t="s">
        <v>70</v>
      </c>
      <c r="D143" s="9" t="s">
        <v>54</v>
      </c>
      <c r="E143" s="9" t="s">
        <v>368</v>
      </c>
      <c r="F143" s="9"/>
      <c r="G143" s="9"/>
      <c r="H143" s="9"/>
      <c r="I143" s="10"/>
      <c r="J143" s="10"/>
      <c r="K143" s="11"/>
      <c r="L143" s="12" t="str">
        <f aca="false">IFERROR(IF(N(J143)=0,"",(K143-J143)/J143),"")</f>
        <v/>
      </c>
      <c r="M143" s="14" t="s">
        <v>201</v>
      </c>
      <c r="N143" s="9" t="s">
        <v>211</v>
      </c>
      <c r="O143" s="9" t="s">
        <v>87</v>
      </c>
      <c r="P143" s="9" t="s">
        <v>13</v>
      </c>
    </row>
    <row r="144" customFormat="false" ht="15" hidden="false" customHeight="false" outlineLevel="0" collapsed="false">
      <c r="A144" s="9" t="s">
        <v>405</v>
      </c>
      <c r="B144" s="9" t="s">
        <v>406</v>
      </c>
      <c r="C144" s="9" t="s">
        <v>70</v>
      </c>
      <c r="D144" s="9" t="s">
        <v>54</v>
      </c>
      <c r="E144" s="9" t="s">
        <v>368</v>
      </c>
      <c r="F144" s="9"/>
      <c r="G144" s="9"/>
      <c r="H144" s="9"/>
      <c r="I144" s="10"/>
      <c r="J144" s="10"/>
      <c r="K144" s="11"/>
      <c r="L144" s="12" t="str">
        <f aca="false">IFERROR(IF(N(J144)=0,"",(K144-J144)/J144),"")</f>
        <v/>
      </c>
      <c r="M144" s="14" t="s">
        <v>201</v>
      </c>
      <c r="N144" s="9" t="s">
        <v>202</v>
      </c>
      <c r="O144" s="9" t="s">
        <v>59</v>
      </c>
      <c r="P144" s="9" t="s">
        <v>13</v>
      </c>
    </row>
    <row r="145" customFormat="false" ht="15" hidden="false" customHeight="false" outlineLevel="0" collapsed="false">
      <c r="A145" s="9" t="s">
        <v>407</v>
      </c>
      <c r="B145" s="9" t="s">
        <v>408</v>
      </c>
      <c r="C145" s="9" t="s">
        <v>70</v>
      </c>
      <c r="D145" s="9" t="s">
        <v>54</v>
      </c>
      <c r="E145" s="9" t="s">
        <v>368</v>
      </c>
      <c r="F145" s="9"/>
      <c r="G145" s="9"/>
      <c r="H145" s="9"/>
      <c r="I145" s="10"/>
      <c r="J145" s="10"/>
      <c r="K145" s="11"/>
      <c r="L145" s="12" t="str">
        <f aca="false">IFERROR(IF(N(J145)=0,"",(K145-J145)/J145),"")</f>
        <v/>
      </c>
      <c r="M145" s="14" t="s">
        <v>201</v>
      </c>
      <c r="N145" s="9" t="s">
        <v>211</v>
      </c>
      <c r="O145" s="9" t="s">
        <v>87</v>
      </c>
      <c r="P145" s="9" t="s">
        <v>13</v>
      </c>
    </row>
    <row r="146" customFormat="false" ht="15" hidden="false" customHeight="false" outlineLevel="0" collapsed="false">
      <c r="A146" s="9" t="s">
        <v>409</v>
      </c>
      <c r="B146" s="9" t="s">
        <v>410</v>
      </c>
      <c r="C146" s="9" t="s">
        <v>70</v>
      </c>
      <c r="D146" s="9" t="s">
        <v>54</v>
      </c>
      <c r="E146" s="9" t="s">
        <v>368</v>
      </c>
      <c r="F146" s="9"/>
      <c r="G146" s="9"/>
      <c r="H146" s="9"/>
      <c r="I146" s="10"/>
      <c r="J146" s="10"/>
      <c r="K146" s="11"/>
      <c r="L146" s="12" t="str">
        <f aca="false">IFERROR(IF(N(J146)=0,"",(K146-J146)/J146),"")</f>
        <v/>
      </c>
      <c r="M146" s="14" t="s">
        <v>201</v>
      </c>
      <c r="N146" s="9" t="s">
        <v>202</v>
      </c>
      <c r="O146" s="9" t="s">
        <v>59</v>
      </c>
      <c r="P146" s="9" t="s">
        <v>13</v>
      </c>
    </row>
    <row r="147" customFormat="false" ht="15" hidden="false" customHeight="false" outlineLevel="0" collapsed="false">
      <c r="A147" s="9" t="s">
        <v>411</v>
      </c>
      <c r="B147" s="9" t="s">
        <v>412</v>
      </c>
      <c r="C147" s="9" t="s">
        <v>70</v>
      </c>
      <c r="D147" s="9" t="s">
        <v>54</v>
      </c>
      <c r="E147" s="9" t="s">
        <v>368</v>
      </c>
      <c r="F147" s="9"/>
      <c r="G147" s="9"/>
      <c r="H147" s="9"/>
      <c r="I147" s="10"/>
      <c r="J147" s="10"/>
      <c r="K147" s="11"/>
      <c r="L147" s="12" t="str">
        <f aca="false">IFERROR(IF(N(J147)=0,"",(K147-J147)/J147),"")</f>
        <v/>
      </c>
      <c r="M147" s="14" t="s">
        <v>201</v>
      </c>
      <c r="N147" s="9" t="s">
        <v>202</v>
      </c>
      <c r="O147" s="9" t="s">
        <v>59</v>
      </c>
      <c r="P147" s="9" t="s">
        <v>13</v>
      </c>
    </row>
    <row r="148" customFormat="false" ht="15" hidden="false" customHeight="false" outlineLevel="0" collapsed="false">
      <c r="A148" s="9" t="s">
        <v>413</v>
      </c>
      <c r="B148" s="9" t="s">
        <v>414</v>
      </c>
      <c r="C148" s="9" t="s">
        <v>70</v>
      </c>
      <c r="D148" s="9" t="s">
        <v>54</v>
      </c>
      <c r="E148" s="9" t="s">
        <v>368</v>
      </c>
      <c r="F148" s="9"/>
      <c r="G148" s="9"/>
      <c r="H148" s="9"/>
      <c r="I148" s="10"/>
      <c r="J148" s="10"/>
      <c r="K148" s="11"/>
      <c r="L148" s="12" t="str">
        <f aca="false">IFERROR(IF(N(J148)=0,"",(K148-J148)/J148),"")</f>
        <v/>
      </c>
      <c r="M148" s="14" t="s">
        <v>201</v>
      </c>
      <c r="N148" s="9" t="s">
        <v>211</v>
      </c>
      <c r="O148" s="9" t="s">
        <v>87</v>
      </c>
      <c r="P148" s="9" t="s">
        <v>13</v>
      </c>
    </row>
    <row r="149" customFormat="false" ht="15" hidden="false" customHeight="false" outlineLevel="0" collapsed="false">
      <c r="A149" s="9" t="s">
        <v>415</v>
      </c>
      <c r="B149" s="9" t="s">
        <v>416</v>
      </c>
      <c r="C149" s="9" t="s">
        <v>70</v>
      </c>
      <c r="D149" s="9" t="s">
        <v>54</v>
      </c>
      <c r="E149" s="9" t="s">
        <v>368</v>
      </c>
      <c r="F149" s="9"/>
      <c r="G149" s="9"/>
      <c r="H149" s="9"/>
      <c r="I149" s="10"/>
      <c r="J149" s="10"/>
      <c r="K149" s="11"/>
      <c r="L149" s="12" t="str">
        <f aca="false">IFERROR(IF(N(J149)=0,"",(K149-J149)/J149),"")</f>
        <v/>
      </c>
      <c r="M149" s="14" t="s">
        <v>201</v>
      </c>
      <c r="N149" s="9" t="s">
        <v>202</v>
      </c>
      <c r="O149" s="9" t="s">
        <v>59</v>
      </c>
      <c r="P149" s="9" t="s">
        <v>13</v>
      </c>
    </row>
    <row r="150" customFormat="false" ht="15" hidden="false" customHeight="false" outlineLevel="0" collapsed="false">
      <c r="A150" s="9" t="s">
        <v>417</v>
      </c>
      <c r="B150" s="9" t="s">
        <v>418</v>
      </c>
      <c r="C150" s="9" t="s">
        <v>70</v>
      </c>
      <c r="D150" s="9" t="s">
        <v>54</v>
      </c>
      <c r="E150" s="9" t="s">
        <v>368</v>
      </c>
      <c r="F150" s="9"/>
      <c r="G150" s="9"/>
      <c r="H150" s="9"/>
      <c r="I150" s="10"/>
      <c r="J150" s="10"/>
      <c r="K150" s="11"/>
      <c r="L150" s="12" t="str">
        <f aca="false">IFERROR(IF(N(J150)=0,"",(K150-J150)/J150),"")</f>
        <v/>
      </c>
      <c r="M150" s="14" t="s">
        <v>201</v>
      </c>
      <c r="N150" s="9" t="s">
        <v>202</v>
      </c>
      <c r="O150" s="9" t="s">
        <v>59</v>
      </c>
      <c r="P150" s="9" t="s">
        <v>13</v>
      </c>
    </row>
    <row r="151" customFormat="false" ht="15" hidden="false" customHeight="false" outlineLevel="0" collapsed="false">
      <c r="A151" s="9" t="s">
        <v>419</v>
      </c>
      <c r="B151" s="9" t="s">
        <v>420</v>
      </c>
      <c r="C151" s="9" t="s">
        <v>70</v>
      </c>
      <c r="D151" s="9" t="s">
        <v>54</v>
      </c>
      <c r="E151" s="9" t="s">
        <v>368</v>
      </c>
      <c r="F151" s="9"/>
      <c r="G151" s="9"/>
      <c r="H151" s="9"/>
      <c r="I151" s="10"/>
      <c r="J151" s="10"/>
      <c r="K151" s="11"/>
      <c r="L151" s="12" t="str">
        <f aca="false">IFERROR(IF(N(J151)=0,"",(K151-J151)/J151),"")</f>
        <v/>
      </c>
      <c r="M151" s="14" t="s">
        <v>201</v>
      </c>
      <c r="N151" s="9" t="s">
        <v>211</v>
      </c>
      <c r="O151" s="9" t="s">
        <v>87</v>
      </c>
      <c r="P151" s="9" t="s">
        <v>13</v>
      </c>
    </row>
    <row r="152" customFormat="false" ht="15" hidden="false" customHeight="false" outlineLevel="0" collapsed="false">
      <c r="A152" s="9" t="s">
        <v>421</v>
      </c>
      <c r="B152" s="9" t="s">
        <v>422</v>
      </c>
      <c r="C152" s="9" t="s">
        <v>70</v>
      </c>
      <c r="D152" s="9" t="s">
        <v>54</v>
      </c>
      <c r="E152" s="9" t="s">
        <v>368</v>
      </c>
      <c r="F152" s="9"/>
      <c r="G152" s="9"/>
      <c r="H152" s="9"/>
      <c r="I152" s="10"/>
      <c r="J152" s="10"/>
      <c r="K152" s="11"/>
      <c r="L152" s="12" t="str">
        <f aca="false">IFERROR(IF(N(J152)=0,"",(K152-J152)/J152),"")</f>
        <v/>
      </c>
      <c r="M152" s="14" t="s">
        <v>201</v>
      </c>
      <c r="N152" s="9" t="s">
        <v>211</v>
      </c>
      <c r="O152" s="9" t="s">
        <v>87</v>
      </c>
      <c r="P152" s="9" t="s">
        <v>13</v>
      </c>
    </row>
    <row r="153" customFormat="false" ht="15" hidden="false" customHeight="false" outlineLevel="0" collapsed="false">
      <c r="A153" s="9" t="s">
        <v>423</v>
      </c>
      <c r="B153" s="9" t="s">
        <v>424</v>
      </c>
      <c r="C153" s="9" t="s">
        <v>70</v>
      </c>
      <c r="D153" s="9" t="s">
        <v>54</v>
      </c>
      <c r="E153" s="9" t="s">
        <v>368</v>
      </c>
      <c r="F153" s="9"/>
      <c r="G153" s="9"/>
      <c r="H153" s="9"/>
      <c r="I153" s="10"/>
      <c r="J153" s="10"/>
      <c r="K153" s="11"/>
      <c r="L153" s="12" t="str">
        <f aca="false">IFERROR(IF(N(J153)=0,"",(K153-J153)/J153),"")</f>
        <v/>
      </c>
      <c r="M153" s="14" t="s">
        <v>201</v>
      </c>
      <c r="N153" s="9" t="s">
        <v>202</v>
      </c>
      <c r="O153" s="9" t="s">
        <v>59</v>
      </c>
      <c r="P153" s="9" t="s">
        <v>13</v>
      </c>
    </row>
    <row r="154" customFormat="false" ht="15" hidden="false" customHeight="false" outlineLevel="0" collapsed="false">
      <c r="A154" s="9" t="s">
        <v>425</v>
      </c>
      <c r="B154" s="9" t="s">
        <v>426</v>
      </c>
      <c r="C154" s="9" t="n">
        <v>68</v>
      </c>
      <c r="D154" s="9" t="s">
        <v>54</v>
      </c>
      <c r="E154" s="9" t="s">
        <v>368</v>
      </c>
      <c r="F154" s="9"/>
      <c r="G154" s="9"/>
      <c r="H154" s="9"/>
      <c r="I154" s="10"/>
      <c r="J154" s="10"/>
      <c r="K154" s="11" t="n">
        <v>1343.7908</v>
      </c>
      <c r="L154" s="12" t="str">
        <f aca="false">IFERROR(IF(N(J154)=0,"",(K154-J154)/J154),"")</f>
        <v/>
      </c>
      <c r="M154" s="9" t="s">
        <v>427</v>
      </c>
      <c r="N154" s="9" t="s">
        <v>428</v>
      </c>
      <c r="O154" s="9" t="s">
        <v>59</v>
      </c>
      <c r="P154" s="9" t="s">
        <v>13</v>
      </c>
    </row>
    <row r="155" customFormat="false" ht="15" hidden="false" customHeight="false" outlineLevel="0" collapsed="false">
      <c r="A155" s="9" t="s">
        <v>429</v>
      </c>
      <c r="B155" s="9" t="s">
        <v>430</v>
      </c>
      <c r="C155" s="9" t="s">
        <v>70</v>
      </c>
      <c r="D155" s="9" t="s">
        <v>54</v>
      </c>
      <c r="E155" s="9" t="s">
        <v>368</v>
      </c>
      <c r="F155" s="9"/>
      <c r="G155" s="9"/>
      <c r="H155" s="9"/>
      <c r="I155" s="10"/>
      <c r="J155" s="10"/>
      <c r="K155" s="11" t="n">
        <v>155</v>
      </c>
      <c r="L155" s="12" t="str">
        <f aca="false">IFERROR(IF(N(J155)=0,"",(K155-J155)/J155),"")</f>
        <v/>
      </c>
      <c r="M155" s="9" t="s">
        <v>427</v>
      </c>
      <c r="N155" s="9" t="s">
        <v>431</v>
      </c>
      <c r="O155" s="9" t="s">
        <v>59</v>
      </c>
      <c r="P155" s="9" t="s">
        <v>13</v>
      </c>
    </row>
    <row r="156" customFormat="false" ht="15" hidden="false" customHeight="false" outlineLevel="0" collapsed="false">
      <c r="A156" s="9" t="s">
        <v>432</v>
      </c>
      <c r="B156" s="9" t="s">
        <v>433</v>
      </c>
      <c r="C156" s="9" t="n">
        <v>68</v>
      </c>
      <c r="D156" s="9" t="s">
        <v>54</v>
      </c>
      <c r="E156" s="9" t="s">
        <v>368</v>
      </c>
      <c r="F156" s="9"/>
      <c r="G156" s="9"/>
      <c r="H156" s="9"/>
      <c r="I156" s="10"/>
      <c r="J156" s="10"/>
      <c r="K156" s="11" t="n">
        <v>1180</v>
      </c>
      <c r="L156" s="12" t="str">
        <f aca="false">IFERROR(IF(N(J156)=0,"",(K156-J156)/J156),"")</f>
        <v/>
      </c>
      <c r="M156" s="9" t="s">
        <v>427</v>
      </c>
      <c r="N156" s="9" t="s">
        <v>238</v>
      </c>
      <c r="O156" s="9" t="s">
        <v>59</v>
      </c>
      <c r="P156" s="9" t="s">
        <v>13</v>
      </c>
    </row>
    <row r="157" customFormat="false" ht="15" hidden="false" customHeight="false" outlineLevel="0" collapsed="false">
      <c r="A157" s="9" t="s">
        <v>434</v>
      </c>
      <c r="B157" s="9" t="s">
        <v>435</v>
      </c>
      <c r="C157" s="9" t="n">
        <v>68</v>
      </c>
      <c r="D157" s="9" t="s">
        <v>54</v>
      </c>
      <c r="E157" s="9" t="s">
        <v>368</v>
      </c>
      <c r="F157" s="9"/>
      <c r="G157" s="9"/>
      <c r="H157" s="9"/>
      <c r="I157" s="10"/>
      <c r="J157" s="10"/>
      <c r="K157" s="11" t="n">
        <v>770</v>
      </c>
      <c r="L157" s="12" t="str">
        <f aca="false">IFERROR(IF(N(J157)=0,"",(K157-J157)/J157),"")</f>
        <v/>
      </c>
      <c r="M157" s="9" t="s">
        <v>427</v>
      </c>
      <c r="N157" s="9" t="s">
        <v>238</v>
      </c>
      <c r="O157" s="9" t="s">
        <v>59</v>
      </c>
      <c r="P157" s="9" t="s">
        <v>13</v>
      </c>
    </row>
    <row r="158" customFormat="false" ht="15" hidden="false" customHeight="false" outlineLevel="0" collapsed="false">
      <c r="A158" s="9" t="s">
        <v>436</v>
      </c>
      <c r="B158" s="9" t="s">
        <v>437</v>
      </c>
      <c r="C158" s="9" t="n">
        <v>68</v>
      </c>
      <c r="D158" s="9" t="s">
        <v>54</v>
      </c>
      <c r="E158" s="9" t="s">
        <v>368</v>
      </c>
      <c r="F158" s="9"/>
      <c r="G158" s="9"/>
      <c r="H158" s="9"/>
      <c r="I158" s="10"/>
      <c r="J158" s="10"/>
      <c r="K158" s="11" t="n">
        <v>760</v>
      </c>
      <c r="L158" s="12" t="str">
        <f aca="false">IFERROR(IF(N(J158)=0,"",(K158-J158)/J158),"")</f>
        <v/>
      </c>
      <c r="M158" s="9" t="s">
        <v>427</v>
      </c>
      <c r="N158" s="9" t="s">
        <v>238</v>
      </c>
      <c r="O158" s="9" t="s">
        <v>59</v>
      </c>
      <c r="P158" s="9" t="s">
        <v>13</v>
      </c>
    </row>
    <row r="159" customFormat="false" ht="15" hidden="false" customHeight="false" outlineLevel="0" collapsed="false">
      <c r="A159" s="9" t="s">
        <v>438</v>
      </c>
      <c r="B159" s="9" t="s">
        <v>439</v>
      </c>
      <c r="C159" s="9" t="s">
        <v>70</v>
      </c>
      <c r="D159" s="9" t="s">
        <v>54</v>
      </c>
      <c r="E159" s="9" t="s">
        <v>368</v>
      </c>
      <c r="F159" s="9"/>
      <c r="G159" s="9"/>
      <c r="H159" s="9"/>
      <c r="I159" s="10"/>
      <c r="J159" s="10"/>
      <c r="K159" s="11" t="n">
        <v>137.5</v>
      </c>
      <c r="L159" s="12" t="str">
        <f aca="false">IFERROR(IF(N(J159)=0,"",(K159-J159)/J159),"")</f>
        <v/>
      </c>
      <c r="M159" s="9" t="s">
        <v>427</v>
      </c>
      <c r="N159" s="9" t="s">
        <v>143</v>
      </c>
      <c r="O159" s="9" t="s">
        <v>59</v>
      </c>
      <c r="P159" s="9" t="s">
        <v>13</v>
      </c>
    </row>
    <row r="160" customFormat="false" ht="15" hidden="false" customHeight="false" outlineLevel="0" collapsed="false">
      <c r="A160" s="9" t="s">
        <v>440</v>
      </c>
      <c r="B160" s="9" t="s">
        <v>441</v>
      </c>
      <c r="C160" s="9" t="n">
        <v>68</v>
      </c>
      <c r="D160" s="9" t="s">
        <v>54</v>
      </c>
      <c r="E160" s="9" t="s">
        <v>368</v>
      </c>
      <c r="F160" s="9"/>
      <c r="G160" s="9"/>
      <c r="H160" s="9"/>
      <c r="I160" s="10"/>
      <c r="J160" s="10"/>
      <c r="K160" s="11" t="n">
        <v>620</v>
      </c>
      <c r="L160" s="12" t="str">
        <f aca="false">IFERROR(IF(N(J160)=0,"",(K160-J160)/J160),"")</f>
        <v/>
      </c>
      <c r="M160" s="9" t="s">
        <v>427</v>
      </c>
      <c r="N160" s="9" t="s">
        <v>58</v>
      </c>
      <c r="O160" s="9" t="s">
        <v>59</v>
      </c>
      <c r="P160" s="9" t="s">
        <v>13</v>
      </c>
    </row>
    <row r="161" customFormat="false" ht="15" hidden="false" customHeight="false" outlineLevel="0" collapsed="false">
      <c r="A161" s="9" t="s">
        <v>442</v>
      </c>
      <c r="B161" s="9" t="s">
        <v>443</v>
      </c>
      <c r="C161" s="9" t="n">
        <v>68</v>
      </c>
      <c r="D161" s="9" t="s">
        <v>444</v>
      </c>
      <c r="E161" s="9" t="s">
        <v>368</v>
      </c>
      <c r="F161" s="9"/>
      <c r="G161" s="9"/>
      <c r="H161" s="9"/>
      <c r="I161" s="10"/>
      <c r="J161" s="10"/>
      <c r="K161" s="11" t="n">
        <v>603</v>
      </c>
      <c r="L161" s="12" t="str">
        <f aca="false">IFERROR(IF(N(J161)=0,"",(K161-J161)/J161),"")</f>
        <v/>
      </c>
      <c r="M161" s="9" t="s">
        <v>427</v>
      </c>
      <c r="N161" s="9" t="s">
        <v>100</v>
      </c>
      <c r="O161" s="9" t="s">
        <v>59</v>
      </c>
      <c r="P161" s="9" t="s">
        <v>13</v>
      </c>
    </row>
    <row r="162" customFormat="false" ht="15" hidden="false" customHeight="false" outlineLevel="0" collapsed="false">
      <c r="A162" s="9" t="s">
        <v>445</v>
      </c>
      <c r="B162" s="9" t="s">
        <v>446</v>
      </c>
      <c r="C162" s="9" t="s">
        <v>70</v>
      </c>
      <c r="D162" s="9" t="s">
        <v>54</v>
      </c>
      <c r="E162" s="9" t="s">
        <v>368</v>
      </c>
      <c r="F162" s="9"/>
      <c r="G162" s="9"/>
      <c r="H162" s="9"/>
      <c r="I162" s="10"/>
      <c r="J162" s="10"/>
      <c r="K162" s="11" t="n">
        <v>26.675</v>
      </c>
      <c r="L162" s="12" t="str">
        <f aca="false">IFERROR(IF(N(J162)=0,"",(K162-J162)/J162),"")</f>
        <v/>
      </c>
      <c r="M162" s="9" t="s">
        <v>427</v>
      </c>
      <c r="N162" s="9" t="s">
        <v>143</v>
      </c>
      <c r="O162" s="9" t="s">
        <v>59</v>
      </c>
      <c r="P162" s="9" t="s">
        <v>13</v>
      </c>
    </row>
    <row r="163" customFormat="false" ht="15" hidden="false" customHeight="false" outlineLevel="0" collapsed="false">
      <c r="A163" s="9" t="s">
        <v>447</v>
      </c>
      <c r="B163" s="9" t="s">
        <v>448</v>
      </c>
      <c r="C163" s="9" t="n">
        <v>68</v>
      </c>
      <c r="D163" s="9" t="s">
        <v>54</v>
      </c>
      <c r="E163" s="9" t="s">
        <v>368</v>
      </c>
      <c r="F163" s="9"/>
      <c r="G163" s="9"/>
      <c r="H163" s="9"/>
      <c r="I163" s="10"/>
      <c r="J163" s="10"/>
      <c r="K163" s="11" t="n">
        <v>1400</v>
      </c>
      <c r="L163" s="12" t="str">
        <f aca="false">IFERROR(IF(N(J163)=0,"",(K163-J163)/J163),"")</f>
        <v/>
      </c>
      <c r="M163" s="9" t="s">
        <v>427</v>
      </c>
      <c r="N163" s="9" t="s">
        <v>86</v>
      </c>
      <c r="O163" s="9" t="s">
        <v>87</v>
      </c>
      <c r="P163" s="9" t="s">
        <v>13</v>
      </c>
    </row>
    <row r="164" customFormat="false" ht="15" hidden="false" customHeight="false" outlineLevel="0" collapsed="false">
      <c r="A164" s="9" t="s">
        <v>449</v>
      </c>
      <c r="B164" s="9" t="s">
        <v>450</v>
      </c>
      <c r="C164" s="9" t="n">
        <v>68</v>
      </c>
      <c r="D164" s="9" t="s">
        <v>54</v>
      </c>
      <c r="E164" s="9" t="s">
        <v>368</v>
      </c>
      <c r="F164" s="9"/>
      <c r="G164" s="9"/>
      <c r="H164" s="9"/>
      <c r="I164" s="10"/>
      <c r="J164" s="10"/>
      <c r="K164" s="11" t="n">
        <v>820</v>
      </c>
      <c r="L164" s="12" t="str">
        <f aca="false">IFERROR(IF(N(J164)=0,"",(K164-J164)/J164),"")</f>
        <v/>
      </c>
      <c r="M164" s="9" t="s">
        <v>427</v>
      </c>
      <c r="N164" s="9" t="s">
        <v>347</v>
      </c>
      <c r="O164" s="9" t="s">
        <v>59</v>
      </c>
      <c r="P164" s="9" t="s">
        <v>13</v>
      </c>
    </row>
    <row r="165" customFormat="false" ht="15" hidden="false" customHeight="false" outlineLevel="0" collapsed="false">
      <c r="A165" s="9" t="s">
        <v>451</v>
      </c>
      <c r="B165" s="9" t="s">
        <v>452</v>
      </c>
      <c r="C165" s="9" t="s">
        <v>70</v>
      </c>
      <c r="D165" s="9" t="s">
        <v>54</v>
      </c>
      <c r="E165" s="9" t="s">
        <v>368</v>
      </c>
      <c r="F165" s="9"/>
      <c r="G165" s="9"/>
      <c r="H165" s="9"/>
      <c r="I165" s="10"/>
      <c r="J165" s="10"/>
      <c r="K165" s="11" t="n">
        <v>27.18</v>
      </c>
      <c r="L165" s="12" t="str">
        <f aca="false">IFERROR(IF(N(J165)=0,"",(K165-J165)/J165),"")</f>
        <v/>
      </c>
      <c r="M165" s="9" t="s">
        <v>427</v>
      </c>
      <c r="N165" s="9" t="s">
        <v>453</v>
      </c>
      <c r="O165" s="9" t="s">
        <v>59</v>
      </c>
      <c r="P165" s="9" t="s">
        <v>13</v>
      </c>
    </row>
    <row r="166" customFormat="false" ht="15" hidden="false" customHeight="false" outlineLevel="0" collapsed="false">
      <c r="A166" s="9" t="s">
        <v>454</v>
      </c>
      <c r="B166" s="9" t="s">
        <v>455</v>
      </c>
      <c r="C166" s="9" t="n">
        <v>68</v>
      </c>
      <c r="D166" s="9" t="s">
        <v>54</v>
      </c>
      <c r="E166" s="9" t="s">
        <v>368</v>
      </c>
      <c r="F166" s="9"/>
      <c r="G166" s="9"/>
      <c r="H166" s="9"/>
      <c r="I166" s="10"/>
      <c r="J166" s="10"/>
      <c r="K166" s="11" t="n">
        <v>2500</v>
      </c>
      <c r="L166" s="12" t="str">
        <f aca="false">IFERROR(IF(N(J166)=0,"",(K166-J166)/J166),"")</f>
        <v/>
      </c>
      <c r="M166" s="9" t="s">
        <v>427</v>
      </c>
      <c r="N166" s="9" t="s">
        <v>268</v>
      </c>
      <c r="O166" s="9" t="s">
        <v>59</v>
      </c>
      <c r="P166" s="9" t="s">
        <v>13</v>
      </c>
    </row>
    <row r="167" customFormat="false" ht="15" hidden="false" customHeight="false" outlineLevel="0" collapsed="false">
      <c r="A167" s="9" t="s">
        <v>456</v>
      </c>
      <c r="B167" s="9" t="s">
        <v>457</v>
      </c>
      <c r="C167" s="9" t="n">
        <v>68</v>
      </c>
      <c r="D167" s="9" t="s">
        <v>54</v>
      </c>
      <c r="E167" s="9" t="s">
        <v>368</v>
      </c>
      <c r="F167" s="9"/>
      <c r="G167" s="9"/>
      <c r="H167" s="9"/>
      <c r="I167" s="10"/>
      <c r="J167" s="10"/>
      <c r="K167" s="11" t="n">
        <v>510</v>
      </c>
      <c r="L167" s="12" t="str">
        <f aca="false">IFERROR(IF(N(J167)=0,"",(K167-J167)/J167),"")</f>
        <v/>
      </c>
      <c r="M167" s="9" t="s">
        <v>427</v>
      </c>
      <c r="N167" s="9" t="s">
        <v>238</v>
      </c>
      <c r="O167" s="9" t="s">
        <v>59</v>
      </c>
      <c r="P167" s="9" t="s">
        <v>13</v>
      </c>
    </row>
    <row r="168" customFormat="false" ht="15" hidden="false" customHeight="false" outlineLevel="0" collapsed="false">
      <c r="A168" s="9" t="s">
        <v>458</v>
      </c>
      <c r="B168" s="9" t="s">
        <v>459</v>
      </c>
      <c r="C168" s="9" t="n">
        <v>68</v>
      </c>
      <c r="D168" s="9" t="s">
        <v>54</v>
      </c>
      <c r="E168" s="9" t="s">
        <v>368</v>
      </c>
      <c r="F168" s="9"/>
      <c r="G168" s="9"/>
      <c r="H168" s="9"/>
      <c r="I168" s="10"/>
      <c r="J168" s="10"/>
      <c r="K168" s="11" t="n">
        <v>520</v>
      </c>
      <c r="L168" s="12" t="str">
        <f aca="false">IFERROR(IF(N(J168)=0,"",(K168-J168)/J168),"")</f>
        <v/>
      </c>
      <c r="M168" s="9" t="s">
        <v>427</v>
      </c>
      <c r="N168" s="9" t="s">
        <v>92</v>
      </c>
      <c r="O168" s="9" t="s">
        <v>59</v>
      </c>
      <c r="P168" s="9" t="s">
        <v>13</v>
      </c>
    </row>
    <row r="169" customFormat="false" ht="15" hidden="false" customHeight="false" outlineLevel="0" collapsed="false">
      <c r="A169" s="9" t="s">
        <v>460</v>
      </c>
      <c r="B169" s="9" t="s">
        <v>461</v>
      </c>
      <c r="C169" s="9" t="s">
        <v>70</v>
      </c>
      <c r="D169" s="9" t="s">
        <v>54</v>
      </c>
      <c r="E169" s="9" t="s">
        <v>368</v>
      </c>
      <c r="F169" s="9"/>
      <c r="G169" s="9"/>
      <c r="H169" s="9"/>
      <c r="I169" s="10"/>
      <c r="J169" s="10"/>
      <c r="K169" s="11" t="n">
        <v>303.09</v>
      </c>
      <c r="L169" s="12" t="str">
        <f aca="false">IFERROR(IF(N(J169)=0,"",(K169-J169)/J169),"")</f>
        <v/>
      </c>
      <c r="M169" s="9" t="s">
        <v>427</v>
      </c>
      <c r="N169" s="9" t="s">
        <v>71</v>
      </c>
      <c r="O169" s="9" t="s">
        <v>59</v>
      </c>
      <c r="P169" s="9" t="s">
        <v>13</v>
      </c>
    </row>
    <row r="170" customFormat="false" ht="15" hidden="false" customHeight="false" outlineLevel="0" collapsed="false">
      <c r="A170" s="9" t="s">
        <v>462</v>
      </c>
      <c r="B170" s="9" t="s">
        <v>463</v>
      </c>
      <c r="C170" s="9" t="n">
        <v>68</v>
      </c>
      <c r="D170" s="9" t="s">
        <v>444</v>
      </c>
      <c r="E170" s="9" t="s">
        <v>368</v>
      </c>
      <c r="F170" s="9"/>
      <c r="G170" s="9"/>
      <c r="H170" s="9"/>
      <c r="I170" s="10"/>
      <c r="J170" s="10"/>
      <c r="K170" s="11" t="n">
        <v>590</v>
      </c>
      <c r="L170" s="12" t="str">
        <f aca="false">IFERROR(IF(N(J170)=0,"",(K170-J170)/J170),"")</f>
        <v/>
      </c>
      <c r="M170" s="9" t="s">
        <v>427</v>
      </c>
      <c r="N170" s="9" t="s">
        <v>464</v>
      </c>
      <c r="O170" s="9" t="s">
        <v>59</v>
      </c>
      <c r="P170" s="9" t="s">
        <v>13</v>
      </c>
    </row>
    <row r="171" customFormat="false" ht="15" hidden="false" customHeight="false" outlineLevel="0" collapsed="false">
      <c r="A171" s="9" t="s">
        <v>465</v>
      </c>
      <c r="B171" s="9" t="s">
        <v>466</v>
      </c>
      <c r="C171" s="9" t="s">
        <v>70</v>
      </c>
      <c r="D171" s="9" t="s">
        <v>54</v>
      </c>
      <c r="E171" s="9" t="s">
        <v>368</v>
      </c>
      <c r="F171" s="9"/>
      <c r="G171" s="9"/>
      <c r="H171" s="9"/>
      <c r="I171" s="10"/>
      <c r="J171" s="10"/>
      <c r="K171" s="11" t="n">
        <v>38.84</v>
      </c>
      <c r="L171" s="12" t="str">
        <f aca="false">IFERROR(IF(N(J171)=0,"",(K171-J171)/J171),"")</f>
        <v/>
      </c>
      <c r="M171" s="9" t="s">
        <v>427</v>
      </c>
      <c r="N171" s="9" t="s">
        <v>75</v>
      </c>
      <c r="O171" s="9" t="s">
        <v>59</v>
      </c>
      <c r="P171" s="9" t="s">
        <v>13</v>
      </c>
    </row>
    <row r="172" customFormat="false" ht="15" hidden="false" customHeight="false" outlineLevel="0" collapsed="false">
      <c r="A172" s="9" t="s">
        <v>467</v>
      </c>
      <c r="B172" s="9" t="s">
        <v>468</v>
      </c>
      <c r="C172" s="9" t="s">
        <v>70</v>
      </c>
      <c r="D172" s="9" t="s">
        <v>54</v>
      </c>
      <c r="E172" s="9" t="s">
        <v>368</v>
      </c>
      <c r="F172" s="9"/>
      <c r="G172" s="9"/>
      <c r="H172" s="9"/>
      <c r="I172" s="10"/>
      <c r="J172" s="10"/>
      <c r="K172" s="11" t="n">
        <v>40.315</v>
      </c>
      <c r="L172" s="12" t="str">
        <f aca="false">IFERROR(IF(N(J172)=0,"",(K172-J172)/J172),"")</f>
        <v/>
      </c>
      <c r="M172" s="9" t="s">
        <v>427</v>
      </c>
      <c r="N172" s="9" t="s">
        <v>75</v>
      </c>
      <c r="O172" s="9" t="s">
        <v>59</v>
      </c>
      <c r="P172" s="9" t="s">
        <v>13</v>
      </c>
    </row>
    <row r="173" customFormat="false" ht="15" hidden="false" customHeight="false" outlineLevel="0" collapsed="false">
      <c r="A173" s="9" t="s">
        <v>469</v>
      </c>
      <c r="B173" s="9" t="s">
        <v>470</v>
      </c>
      <c r="C173" s="9" t="s">
        <v>70</v>
      </c>
      <c r="D173" s="9" t="s">
        <v>54</v>
      </c>
      <c r="E173" s="9" t="s">
        <v>368</v>
      </c>
      <c r="F173" s="9"/>
      <c r="G173" s="9"/>
      <c r="H173" s="9"/>
      <c r="I173" s="10"/>
      <c r="J173" s="10"/>
      <c r="K173" s="11" t="n">
        <v>40.315</v>
      </c>
      <c r="L173" s="12" t="str">
        <f aca="false">IFERROR(IF(N(J173)=0,"",(K173-J173)/J173),"")</f>
        <v/>
      </c>
      <c r="M173" s="9" t="s">
        <v>427</v>
      </c>
      <c r="N173" s="9" t="s">
        <v>75</v>
      </c>
      <c r="O173" s="9" t="s">
        <v>59</v>
      </c>
      <c r="P173" s="9" t="s">
        <v>13</v>
      </c>
    </row>
    <row r="174" customFormat="false" ht="15" hidden="false" customHeight="false" outlineLevel="0" collapsed="false">
      <c r="A174" s="9" t="s">
        <v>471</v>
      </c>
      <c r="B174" s="9" t="s">
        <v>472</v>
      </c>
      <c r="C174" s="9" t="s">
        <v>70</v>
      </c>
      <c r="D174" s="9" t="s">
        <v>54</v>
      </c>
      <c r="E174" s="9" t="s">
        <v>368</v>
      </c>
      <c r="F174" s="9"/>
      <c r="G174" s="9"/>
      <c r="H174" s="9"/>
      <c r="I174" s="10"/>
      <c r="J174" s="10"/>
      <c r="K174" s="11" t="n">
        <v>40.315</v>
      </c>
      <c r="L174" s="12" t="str">
        <f aca="false">IFERROR(IF(N(J174)=0,"",(K174-J174)/J174),"")</f>
        <v/>
      </c>
      <c r="M174" s="9" t="s">
        <v>427</v>
      </c>
      <c r="N174" s="9" t="s">
        <v>75</v>
      </c>
      <c r="O174" s="9" t="s">
        <v>59</v>
      </c>
      <c r="P174" s="9" t="s">
        <v>13</v>
      </c>
    </row>
    <row r="175" customFormat="false" ht="15" hidden="false" customHeight="false" outlineLevel="0" collapsed="false">
      <c r="A175" s="9" t="s">
        <v>473</v>
      </c>
      <c r="B175" s="9" t="s">
        <v>474</v>
      </c>
      <c r="C175" s="9" t="n">
        <v>68</v>
      </c>
      <c r="D175" s="9" t="s">
        <v>54</v>
      </c>
      <c r="E175" s="9" t="s">
        <v>368</v>
      </c>
      <c r="F175" s="9"/>
      <c r="G175" s="9"/>
      <c r="H175" s="9"/>
      <c r="I175" s="10"/>
      <c r="J175" s="10"/>
      <c r="K175" s="11" t="n">
        <v>1350</v>
      </c>
      <c r="L175" s="12" t="str">
        <f aca="false">IFERROR(IF(N(J175)=0,"",(K175-J175)/J175),"")</f>
        <v/>
      </c>
      <c r="M175" s="9" t="s">
        <v>427</v>
      </c>
      <c r="N175" s="9" t="s">
        <v>475</v>
      </c>
      <c r="O175" s="9" t="s">
        <v>59</v>
      </c>
      <c r="P175" s="9" t="s">
        <v>13</v>
      </c>
    </row>
    <row r="176" customFormat="false" ht="15" hidden="false" customHeight="false" outlineLevel="0" collapsed="false">
      <c r="A176" s="9" t="s">
        <v>476</v>
      </c>
      <c r="B176" s="9" t="s">
        <v>477</v>
      </c>
      <c r="C176" s="9" t="n">
        <v>68</v>
      </c>
      <c r="D176" s="9" t="s">
        <v>54</v>
      </c>
      <c r="E176" s="9" t="s">
        <v>368</v>
      </c>
      <c r="F176" s="9"/>
      <c r="G176" s="9"/>
      <c r="H176" s="9"/>
      <c r="I176" s="10"/>
      <c r="J176" s="10"/>
      <c r="K176" s="11" t="n">
        <v>930</v>
      </c>
      <c r="L176" s="12" t="str">
        <f aca="false">IFERROR(IF(N(J176)=0,"",(K176-J176)/J176),"")</f>
        <v/>
      </c>
      <c r="M176" s="9" t="s">
        <v>427</v>
      </c>
      <c r="N176" s="9" t="s">
        <v>475</v>
      </c>
      <c r="O176" s="9" t="s">
        <v>59</v>
      </c>
      <c r="P176" s="9" t="s">
        <v>13</v>
      </c>
    </row>
    <row r="177" customFormat="false" ht="15" hidden="false" customHeight="false" outlineLevel="0" collapsed="false">
      <c r="A177" s="9" t="s">
        <v>478</v>
      </c>
      <c r="B177" s="9" t="s">
        <v>479</v>
      </c>
      <c r="C177" s="9" t="n">
        <v>68</v>
      </c>
      <c r="D177" s="9" t="s">
        <v>54</v>
      </c>
      <c r="E177" s="9" t="s">
        <v>368</v>
      </c>
      <c r="F177" s="9"/>
      <c r="G177" s="9"/>
      <c r="H177" s="9"/>
      <c r="I177" s="10"/>
      <c r="J177" s="10"/>
      <c r="K177" s="11" t="n">
        <v>716.6124</v>
      </c>
      <c r="L177" s="12" t="str">
        <f aca="false">IFERROR(IF(N(J177)=0,"",(K177-J177)/J177),"")</f>
        <v/>
      </c>
      <c r="M177" s="9" t="s">
        <v>427</v>
      </c>
      <c r="N177" s="9" t="s">
        <v>82</v>
      </c>
      <c r="O177" s="9" t="s">
        <v>59</v>
      </c>
      <c r="P177" s="9" t="s">
        <v>13</v>
      </c>
    </row>
    <row r="178" customFormat="false" ht="15" hidden="false" customHeight="false" outlineLevel="0" collapsed="false">
      <c r="A178" s="9" t="s">
        <v>480</v>
      </c>
      <c r="B178" s="9" t="s">
        <v>481</v>
      </c>
      <c r="C178" s="9" t="n">
        <v>68</v>
      </c>
      <c r="D178" s="9" t="s">
        <v>54</v>
      </c>
      <c r="E178" s="9" t="s">
        <v>368</v>
      </c>
      <c r="F178" s="9"/>
      <c r="G178" s="9"/>
      <c r="H178" s="9"/>
      <c r="I178" s="10"/>
      <c r="J178" s="10"/>
      <c r="K178" s="11" t="n">
        <v>600</v>
      </c>
      <c r="L178" s="12" t="str">
        <f aca="false">IFERROR(IF(N(J178)=0,"",(K178-J178)/J178),"")</f>
        <v/>
      </c>
      <c r="M178" s="9" t="s">
        <v>427</v>
      </c>
      <c r="N178" s="9" t="s">
        <v>271</v>
      </c>
      <c r="O178" s="9" t="s">
        <v>59</v>
      </c>
      <c r="P178" s="9" t="s">
        <v>13</v>
      </c>
    </row>
    <row r="179" customFormat="false" ht="15" hidden="false" customHeight="false" outlineLevel="0" collapsed="false">
      <c r="A179" s="9" t="s">
        <v>482</v>
      </c>
      <c r="B179" s="9" t="s">
        <v>483</v>
      </c>
      <c r="C179" s="9" t="n">
        <v>68</v>
      </c>
      <c r="D179" s="9" t="s">
        <v>54</v>
      </c>
      <c r="E179" s="9" t="s">
        <v>368</v>
      </c>
      <c r="F179" s="9"/>
      <c r="G179" s="9"/>
      <c r="H179" s="9"/>
      <c r="I179" s="10"/>
      <c r="J179" s="10"/>
      <c r="K179" s="11" t="n">
        <v>460</v>
      </c>
      <c r="L179" s="12" t="str">
        <f aca="false">IFERROR(IF(N(J179)=0,"",(K179-J179)/J179),"")</f>
        <v/>
      </c>
      <c r="M179" s="9" t="s">
        <v>427</v>
      </c>
      <c r="N179" s="9" t="s">
        <v>271</v>
      </c>
      <c r="O179" s="9" t="s">
        <v>59</v>
      </c>
      <c r="P179" s="9" t="s">
        <v>13</v>
      </c>
    </row>
    <row r="180" customFormat="false" ht="15" hidden="false" customHeight="false" outlineLevel="0" collapsed="false">
      <c r="A180" s="9" t="s">
        <v>484</v>
      </c>
      <c r="B180" s="9" t="s">
        <v>485</v>
      </c>
      <c r="C180" s="9" t="n">
        <v>68</v>
      </c>
      <c r="D180" s="9" t="s">
        <v>444</v>
      </c>
      <c r="E180" s="9" t="s">
        <v>368</v>
      </c>
      <c r="F180" s="9"/>
      <c r="G180" s="9"/>
      <c r="H180" s="9"/>
      <c r="I180" s="10"/>
      <c r="J180" s="10"/>
      <c r="K180" s="11" t="n">
        <v>1200</v>
      </c>
      <c r="L180" s="12" t="str">
        <f aca="false">IFERROR(IF(N(J180)=0,"",(K180-J180)/J180),"")</f>
        <v/>
      </c>
      <c r="M180" s="9" t="s">
        <v>427</v>
      </c>
      <c r="N180" s="9" t="s">
        <v>100</v>
      </c>
      <c r="O180" s="9" t="s">
        <v>59</v>
      </c>
      <c r="P180" s="9" t="s">
        <v>13</v>
      </c>
    </row>
    <row r="181" customFormat="false" ht="15" hidden="false" customHeight="false" outlineLevel="0" collapsed="false">
      <c r="A181" s="9" t="s">
        <v>486</v>
      </c>
      <c r="B181" s="9" t="s">
        <v>487</v>
      </c>
      <c r="C181" s="9" t="n">
        <v>68</v>
      </c>
      <c r="D181" s="9" t="s">
        <v>444</v>
      </c>
      <c r="E181" s="9" t="s">
        <v>368</v>
      </c>
      <c r="F181" s="9"/>
      <c r="G181" s="9"/>
      <c r="H181" s="9"/>
      <c r="I181" s="10"/>
      <c r="J181" s="10"/>
      <c r="K181" s="11" t="n">
        <v>297</v>
      </c>
      <c r="L181" s="12" t="str">
        <f aca="false">IFERROR(IF(N(J181)=0,"",(K181-J181)/J181),"")</f>
        <v/>
      </c>
      <c r="M181" s="9" t="s">
        <v>427</v>
      </c>
      <c r="N181" s="9" t="s">
        <v>488</v>
      </c>
      <c r="O181" s="9" t="s">
        <v>59</v>
      </c>
      <c r="P181" s="9" t="s">
        <v>13</v>
      </c>
    </row>
    <row r="182" customFormat="false" ht="15" hidden="false" customHeight="false" outlineLevel="0" collapsed="false">
      <c r="A182" s="9" t="s">
        <v>489</v>
      </c>
      <c r="B182" s="9" t="s">
        <v>490</v>
      </c>
      <c r="C182" s="9" t="n">
        <v>68</v>
      </c>
      <c r="D182" s="9" t="s">
        <v>54</v>
      </c>
      <c r="E182" s="9" t="s">
        <v>368</v>
      </c>
      <c r="F182" s="9"/>
      <c r="G182" s="9"/>
      <c r="H182" s="9"/>
      <c r="I182" s="10"/>
      <c r="J182" s="10"/>
      <c r="K182" s="11" t="n">
        <v>150</v>
      </c>
      <c r="L182" s="12" t="str">
        <f aca="false">IFERROR(IF(N(J182)=0,"",(K182-J182)/J182),"")</f>
        <v/>
      </c>
      <c r="M182" s="9" t="s">
        <v>427</v>
      </c>
      <c r="N182" s="9" t="s">
        <v>271</v>
      </c>
      <c r="O182" s="9" t="s">
        <v>87</v>
      </c>
      <c r="P182" s="9" t="s">
        <v>13</v>
      </c>
    </row>
    <row r="183" customFormat="false" ht="15" hidden="false" customHeight="false" outlineLevel="0" collapsed="false">
      <c r="A183" s="9" t="s">
        <v>491</v>
      </c>
      <c r="B183" s="9" t="s">
        <v>492</v>
      </c>
      <c r="C183" s="9" t="n">
        <v>68</v>
      </c>
      <c r="D183" s="9" t="s">
        <v>54</v>
      </c>
      <c r="E183" s="9" t="s">
        <v>368</v>
      </c>
      <c r="F183" s="9"/>
      <c r="G183" s="9"/>
      <c r="H183" s="9"/>
      <c r="I183" s="10"/>
      <c r="J183" s="10"/>
      <c r="K183" s="11" t="n">
        <v>2640</v>
      </c>
      <c r="L183" s="12" t="str">
        <f aca="false">IFERROR(IF(N(J183)=0,"",(K183-J183)/J183),"")</f>
        <v/>
      </c>
      <c r="M183" s="9" t="s">
        <v>427</v>
      </c>
      <c r="N183" s="9" t="s">
        <v>294</v>
      </c>
      <c r="O183" s="9" t="s">
        <v>59</v>
      </c>
      <c r="P183" s="9" t="s">
        <v>13</v>
      </c>
    </row>
    <row r="184" customFormat="false" ht="15" hidden="false" customHeight="false" outlineLevel="0" collapsed="false">
      <c r="A184" s="9" t="s">
        <v>493</v>
      </c>
      <c r="B184" s="9" t="s">
        <v>494</v>
      </c>
      <c r="C184" s="9" t="n">
        <v>68</v>
      </c>
      <c r="D184" s="9" t="s">
        <v>54</v>
      </c>
      <c r="E184" s="9" t="s">
        <v>368</v>
      </c>
      <c r="F184" s="9"/>
      <c r="G184" s="9"/>
      <c r="H184" s="9"/>
      <c r="I184" s="10"/>
      <c r="J184" s="10"/>
      <c r="K184" s="11" t="n">
        <v>325</v>
      </c>
      <c r="L184" s="12" t="str">
        <f aca="false">IFERROR(IF(N(J184)=0,"",(K184-J184)/J184),"")</f>
        <v/>
      </c>
      <c r="M184" s="9" t="s">
        <v>427</v>
      </c>
      <c r="N184" s="9" t="s">
        <v>271</v>
      </c>
      <c r="O184" s="9" t="s">
        <v>59</v>
      </c>
      <c r="P184" s="9" t="s">
        <v>13</v>
      </c>
    </row>
    <row r="185" customFormat="false" ht="15" hidden="false" customHeight="false" outlineLevel="0" collapsed="false">
      <c r="A185" s="9" t="s">
        <v>495</v>
      </c>
      <c r="B185" s="9" t="s">
        <v>496</v>
      </c>
      <c r="C185" s="9" t="n">
        <v>78</v>
      </c>
      <c r="D185" s="9" t="s">
        <v>54</v>
      </c>
      <c r="E185" s="9" t="s">
        <v>368</v>
      </c>
      <c r="F185" s="9"/>
      <c r="G185" s="9"/>
      <c r="H185" s="9"/>
      <c r="I185" s="10"/>
      <c r="J185" s="10"/>
      <c r="K185" s="11" t="n">
        <v>162</v>
      </c>
      <c r="L185" s="12" t="str">
        <f aca="false">IFERROR(IF(N(J185)=0,"",(K185-J185)/J185),"")</f>
        <v/>
      </c>
      <c r="M185" s="9" t="s">
        <v>427</v>
      </c>
      <c r="N185" s="9" t="s">
        <v>497</v>
      </c>
      <c r="O185" s="9" t="s">
        <v>59</v>
      </c>
      <c r="P185" s="9" t="s">
        <v>13</v>
      </c>
    </row>
    <row r="186" customFormat="false" ht="15" hidden="false" customHeight="false" outlineLevel="0" collapsed="false">
      <c r="A186" s="9" t="s">
        <v>498</v>
      </c>
      <c r="B186" s="9" t="s">
        <v>499</v>
      </c>
      <c r="C186" s="9" t="n">
        <v>68</v>
      </c>
      <c r="D186" s="9" t="s">
        <v>54</v>
      </c>
      <c r="E186" s="9" t="s">
        <v>368</v>
      </c>
      <c r="F186" s="9"/>
      <c r="G186" s="9"/>
      <c r="H186" s="9"/>
      <c r="I186" s="10"/>
      <c r="J186" s="10"/>
      <c r="K186" s="11" t="n">
        <v>720</v>
      </c>
      <c r="L186" s="12" t="str">
        <f aca="false">IFERROR(IF(N(J186)=0,"",(K186-J186)/J186),"")</f>
        <v/>
      </c>
      <c r="M186" s="9" t="s">
        <v>427</v>
      </c>
      <c r="N186" s="9" t="s">
        <v>271</v>
      </c>
      <c r="O186" s="9" t="s">
        <v>59</v>
      </c>
      <c r="P186" s="9" t="s">
        <v>13</v>
      </c>
    </row>
    <row r="187" customFormat="false" ht="15" hidden="false" customHeight="false" outlineLevel="0" collapsed="false">
      <c r="A187" s="9" t="s">
        <v>500</v>
      </c>
      <c r="B187" s="9" t="s">
        <v>501</v>
      </c>
      <c r="C187" s="9" t="n">
        <v>68</v>
      </c>
      <c r="D187" s="9" t="s">
        <v>54</v>
      </c>
      <c r="E187" s="9" t="s">
        <v>368</v>
      </c>
      <c r="F187" s="9"/>
      <c r="G187" s="9"/>
      <c r="H187" s="9"/>
      <c r="I187" s="10"/>
      <c r="J187" s="10"/>
      <c r="K187" s="11" t="n">
        <v>1904</v>
      </c>
      <c r="L187" s="12" t="str">
        <f aca="false">IFERROR(IF(N(J187)=0,"",(K187-J187)/J187),"")</f>
        <v/>
      </c>
      <c r="M187" s="9" t="s">
        <v>427</v>
      </c>
      <c r="N187" s="9" t="s">
        <v>86</v>
      </c>
      <c r="O187" s="9" t="s">
        <v>87</v>
      </c>
      <c r="P187" s="9" t="s">
        <v>13</v>
      </c>
    </row>
    <row r="188" customFormat="false" ht="15" hidden="false" customHeight="false" outlineLevel="0" collapsed="false">
      <c r="A188" s="9" t="s">
        <v>502</v>
      </c>
      <c r="B188" s="9" t="s">
        <v>503</v>
      </c>
      <c r="C188" s="9" t="n">
        <v>68</v>
      </c>
      <c r="D188" s="9" t="s">
        <v>54</v>
      </c>
      <c r="E188" s="9" t="s">
        <v>368</v>
      </c>
      <c r="F188" s="9"/>
      <c r="G188" s="9"/>
      <c r="H188" s="9"/>
      <c r="I188" s="10"/>
      <c r="J188" s="10"/>
      <c r="K188" s="11" t="n">
        <v>1000</v>
      </c>
      <c r="L188" s="12" t="str">
        <f aca="false">IFERROR(IF(N(J188)=0,"",(K188-J188)/J188),"")</f>
        <v/>
      </c>
      <c r="M188" s="9" t="s">
        <v>427</v>
      </c>
      <c r="N188" s="9" t="s">
        <v>86</v>
      </c>
      <c r="O188" s="9" t="s">
        <v>87</v>
      </c>
      <c r="P188" s="9" t="s">
        <v>13</v>
      </c>
    </row>
    <row r="189" customFormat="false" ht="15" hidden="false" customHeight="false" outlineLevel="0" collapsed="false">
      <c r="A189" s="9" t="s">
        <v>504</v>
      </c>
      <c r="B189" s="9" t="s">
        <v>505</v>
      </c>
      <c r="C189" s="9" t="n">
        <v>68</v>
      </c>
      <c r="D189" s="9" t="s">
        <v>54</v>
      </c>
      <c r="E189" s="9" t="s">
        <v>368</v>
      </c>
      <c r="F189" s="9"/>
      <c r="G189" s="9"/>
      <c r="H189" s="9"/>
      <c r="I189" s="10"/>
      <c r="J189" s="10"/>
      <c r="K189" s="11" t="n">
        <v>1966.44</v>
      </c>
      <c r="L189" s="12" t="str">
        <f aca="false">IFERROR(IF(N(J189)=0,"",(K189-J189)/J189),"")</f>
        <v/>
      </c>
      <c r="M189" s="9" t="s">
        <v>427</v>
      </c>
      <c r="N189" s="9" t="s">
        <v>71</v>
      </c>
      <c r="O189" s="9" t="s">
        <v>59</v>
      </c>
      <c r="P189" s="9" t="s">
        <v>13</v>
      </c>
    </row>
    <row r="190" customFormat="false" ht="15" hidden="false" customHeight="false" outlineLevel="0" collapsed="false">
      <c r="A190" s="9" t="s">
        <v>506</v>
      </c>
      <c r="B190" s="9" t="s">
        <v>507</v>
      </c>
      <c r="C190" s="9" t="n">
        <v>68</v>
      </c>
      <c r="D190" s="9" t="s">
        <v>54</v>
      </c>
      <c r="E190" s="9" t="s">
        <v>368</v>
      </c>
      <c r="F190" s="9"/>
      <c r="G190" s="9"/>
      <c r="H190" s="9"/>
      <c r="I190" s="10"/>
      <c r="J190" s="10"/>
      <c r="K190" s="11" t="n">
        <v>150</v>
      </c>
      <c r="L190" s="12" t="str">
        <f aca="false">IFERROR(IF(N(J190)=0,"",(K190-J190)/J190),"")</f>
        <v/>
      </c>
      <c r="M190" s="9" t="s">
        <v>427</v>
      </c>
      <c r="N190" s="9" t="s">
        <v>271</v>
      </c>
      <c r="O190" s="9" t="s">
        <v>87</v>
      </c>
      <c r="P190" s="9" t="s">
        <v>13</v>
      </c>
    </row>
    <row r="191" customFormat="false" ht="15" hidden="false" customHeight="false" outlineLevel="0" collapsed="false">
      <c r="A191" s="9" t="s">
        <v>508</v>
      </c>
      <c r="B191" s="9" t="s">
        <v>509</v>
      </c>
      <c r="C191" s="9" t="n">
        <v>78</v>
      </c>
      <c r="D191" s="9" t="s">
        <v>54</v>
      </c>
      <c r="E191" s="9" t="s">
        <v>368</v>
      </c>
      <c r="F191" s="9"/>
      <c r="G191" s="9"/>
      <c r="H191" s="9"/>
      <c r="I191" s="10"/>
      <c r="J191" s="10"/>
      <c r="K191" s="11" t="n">
        <v>250</v>
      </c>
      <c r="L191" s="12" t="str">
        <f aca="false">IFERROR(IF(N(J191)=0,"",(K191-J191)/J191),"")</f>
        <v/>
      </c>
      <c r="M191" s="9" t="s">
        <v>427</v>
      </c>
      <c r="N191" s="9" t="s">
        <v>271</v>
      </c>
      <c r="O191" s="9" t="s">
        <v>59</v>
      </c>
      <c r="P191" s="9" t="s">
        <v>13</v>
      </c>
    </row>
    <row r="192" customFormat="false" ht="15" hidden="false" customHeight="false" outlineLevel="0" collapsed="false">
      <c r="A192" s="9" t="s">
        <v>510</v>
      </c>
      <c r="B192" s="9" t="s">
        <v>511</v>
      </c>
      <c r="C192" s="9" t="n">
        <v>68</v>
      </c>
      <c r="D192" s="9" t="s">
        <v>54</v>
      </c>
      <c r="E192" s="9" t="s">
        <v>368</v>
      </c>
      <c r="F192" s="9"/>
      <c r="G192" s="9"/>
      <c r="H192" s="9"/>
      <c r="I192" s="10"/>
      <c r="J192" s="10"/>
      <c r="K192" s="11" t="n">
        <v>450</v>
      </c>
      <c r="L192" s="12" t="str">
        <f aca="false">IFERROR(IF(N(J192)=0,"",(K192-J192)/J192),"")</f>
        <v/>
      </c>
      <c r="M192" s="9" t="s">
        <v>427</v>
      </c>
      <c r="N192" s="9" t="s">
        <v>271</v>
      </c>
      <c r="O192" s="9" t="s">
        <v>59</v>
      </c>
      <c r="P192" s="9" t="s">
        <v>13</v>
      </c>
    </row>
    <row r="193" customFormat="false" ht="15" hidden="false" customHeight="false" outlineLevel="0" collapsed="false">
      <c r="A193" s="9" t="s">
        <v>512</v>
      </c>
      <c r="B193" s="9" t="s">
        <v>513</v>
      </c>
      <c r="C193" s="9" t="n">
        <v>68</v>
      </c>
      <c r="D193" s="9" t="s">
        <v>444</v>
      </c>
      <c r="E193" s="9" t="s">
        <v>368</v>
      </c>
      <c r="F193" s="9"/>
      <c r="G193" s="9"/>
      <c r="H193" s="9"/>
      <c r="I193" s="10"/>
      <c r="J193" s="10"/>
      <c r="K193" s="11" t="n">
        <v>590</v>
      </c>
      <c r="L193" s="12" t="str">
        <f aca="false">IFERROR(IF(N(J193)=0,"",(K193-J193)/J193),"")</f>
        <v/>
      </c>
      <c r="M193" s="9" t="s">
        <v>427</v>
      </c>
      <c r="N193" s="9" t="s">
        <v>464</v>
      </c>
      <c r="O193" s="9" t="s">
        <v>59</v>
      </c>
      <c r="P193" s="9" t="s">
        <v>13</v>
      </c>
    </row>
    <row r="194" customFormat="false" ht="15" hidden="false" customHeight="false" outlineLevel="0" collapsed="false">
      <c r="A194" s="9" t="s">
        <v>514</v>
      </c>
      <c r="B194" s="9" t="s">
        <v>515</v>
      </c>
      <c r="C194" s="9" t="n">
        <v>68</v>
      </c>
      <c r="D194" s="9" t="s">
        <v>54</v>
      </c>
      <c r="E194" s="9" t="s">
        <v>368</v>
      </c>
      <c r="F194" s="9"/>
      <c r="G194" s="9"/>
      <c r="H194" s="9"/>
      <c r="I194" s="10"/>
      <c r="J194" s="10"/>
      <c r="K194" s="11" t="n">
        <v>180</v>
      </c>
      <c r="L194" s="12" t="str">
        <f aca="false">IFERROR(IF(N(J194)=0,"",(K194-J194)/J194),"")</f>
        <v/>
      </c>
      <c r="M194" s="9" t="s">
        <v>427</v>
      </c>
      <c r="N194" s="9" t="s">
        <v>164</v>
      </c>
      <c r="O194" s="9" t="s">
        <v>59</v>
      </c>
      <c r="P194" s="9" t="s">
        <v>13</v>
      </c>
    </row>
    <row r="195" customFormat="false" ht="15" hidden="false" customHeight="false" outlineLevel="0" collapsed="false">
      <c r="A195" s="9" t="s">
        <v>516</v>
      </c>
      <c r="B195" s="9" t="s">
        <v>517</v>
      </c>
      <c r="C195" s="9" t="n">
        <v>68</v>
      </c>
      <c r="D195" s="9" t="s">
        <v>54</v>
      </c>
      <c r="E195" s="9" t="s">
        <v>368</v>
      </c>
      <c r="F195" s="9"/>
      <c r="G195" s="9"/>
      <c r="H195" s="9"/>
      <c r="I195" s="10"/>
      <c r="J195" s="10"/>
      <c r="K195" s="11" t="n">
        <v>735</v>
      </c>
      <c r="L195" s="12" t="str">
        <f aca="false">IFERROR(IF(N(J195)=0,"",(K195-J195)/J195),"")</f>
        <v/>
      </c>
      <c r="M195" s="9" t="s">
        <v>427</v>
      </c>
      <c r="N195" s="9" t="s">
        <v>271</v>
      </c>
      <c r="O195" s="9" t="s">
        <v>87</v>
      </c>
      <c r="P195" s="9" t="s">
        <v>13</v>
      </c>
    </row>
    <row r="196" customFormat="false" ht="15" hidden="false" customHeight="false" outlineLevel="0" collapsed="false">
      <c r="A196" s="9" t="s">
        <v>518</v>
      </c>
      <c r="B196" s="9" t="s">
        <v>519</v>
      </c>
      <c r="C196" s="9" t="n">
        <v>68</v>
      </c>
      <c r="D196" s="9" t="s">
        <v>54</v>
      </c>
      <c r="E196" s="9" t="s">
        <v>368</v>
      </c>
      <c r="F196" s="9"/>
      <c r="G196" s="9"/>
      <c r="H196" s="9"/>
      <c r="I196" s="10"/>
      <c r="J196" s="10"/>
      <c r="K196" s="11" t="n">
        <v>1519.281</v>
      </c>
      <c r="L196" s="12" t="str">
        <f aca="false">IFERROR(IF(N(J196)=0,"",(K196-J196)/J196),"")</f>
        <v/>
      </c>
      <c r="M196" s="9" t="s">
        <v>427</v>
      </c>
      <c r="N196" s="9" t="s">
        <v>428</v>
      </c>
      <c r="O196" s="9" t="s">
        <v>59</v>
      </c>
      <c r="P196" s="9" t="s">
        <v>13</v>
      </c>
    </row>
    <row r="197" customFormat="false" ht="15" hidden="false" customHeight="false" outlineLevel="0" collapsed="false">
      <c r="A197" s="9" t="s">
        <v>520</v>
      </c>
      <c r="B197" s="9" t="s">
        <v>521</v>
      </c>
      <c r="C197" s="9" t="n">
        <v>68</v>
      </c>
      <c r="D197" s="9" t="s">
        <v>54</v>
      </c>
      <c r="E197" s="9" t="s">
        <v>368</v>
      </c>
      <c r="F197" s="9"/>
      <c r="G197" s="9"/>
      <c r="H197" s="9"/>
      <c r="I197" s="10"/>
      <c r="J197" s="10"/>
      <c r="K197" s="11" t="n">
        <v>870</v>
      </c>
      <c r="L197" s="12" t="str">
        <f aca="false">IFERROR(IF(N(J197)=0,"",(K197-J197)/J197),"")</f>
        <v/>
      </c>
      <c r="M197" s="9" t="s">
        <v>427</v>
      </c>
      <c r="N197" s="9" t="s">
        <v>86</v>
      </c>
      <c r="O197" s="9" t="s">
        <v>59</v>
      </c>
      <c r="P197" s="9" t="s">
        <v>13</v>
      </c>
    </row>
    <row r="198" customFormat="false" ht="15" hidden="false" customHeight="false" outlineLevel="0" collapsed="false">
      <c r="A198" s="9" t="s">
        <v>522</v>
      </c>
      <c r="B198" s="9" t="s">
        <v>523</v>
      </c>
      <c r="C198" s="9" t="n">
        <v>68</v>
      </c>
      <c r="D198" s="9" t="s">
        <v>54</v>
      </c>
      <c r="E198" s="9" t="s">
        <v>368</v>
      </c>
      <c r="F198" s="9"/>
      <c r="G198" s="9"/>
      <c r="H198" s="9"/>
      <c r="I198" s="10"/>
      <c r="J198" s="10"/>
      <c r="K198" s="11" t="n">
        <v>185.05</v>
      </c>
      <c r="L198" s="12" t="str">
        <f aca="false">IFERROR(IF(N(J198)=0,"",(K198-J198)/J198),"")</f>
        <v/>
      </c>
      <c r="M198" s="9" t="s">
        <v>427</v>
      </c>
      <c r="N198" s="9" t="s">
        <v>524</v>
      </c>
      <c r="O198" s="9" t="s">
        <v>59</v>
      </c>
      <c r="P198" s="9" t="s">
        <v>13</v>
      </c>
    </row>
    <row r="199" customFormat="false" ht="15" hidden="false" customHeight="false" outlineLevel="0" collapsed="false">
      <c r="A199" s="9" t="s">
        <v>525</v>
      </c>
      <c r="B199" s="9" t="s">
        <v>526</v>
      </c>
      <c r="C199" s="9" t="n">
        <v>68</v>
      </c>
      <c r="D199" s="9" t="s">
        <v>54</v>
      </c>
      <c r="E199" s="9" t="s">
        <v>368</v>
      </c>
      <c r="F199" s="9"/>
      <c r="G199" s="9"/>
      <c r="H199" s="9"/>
      <c r="I199" s="10"/>
      <c r="J199" s="10"/>
      <c r="K199" s="11" t="n">
        <v>1050</v>
      </c>
      <c r="L199" s="12" t="str">
        <f aca="false">IFERROR(IF(N(J199)=0,"",(K199-J199)/J199),"")</f>
        <v/>
      </c>
      <c r="M199" s="9" t="s">
        <v>427</v>
      </c>
      <c r="N199" s="9" t="s">
        <v>271</v>
      </c>
      <c r="O199" s="9" t="s">
        <v>59</v>
      </c>
      <c r="P199" s="9" t="s">
        <v>13</v>
      </c>
    </row>
    <row r="200" customFormat="false" ht="15" hidden="false" customHeight="false" outlineLevel="0" collapsed="false">
      <c r="A200" s="9" t="s">
        <v>527</v>
      </c>
      <c r="B200" s="9" t="s">
        <v>528</v>
      </c>
      <c r="C200" s="9" t="n">
        <v>68</v>
      </c>
      <c r="D200" s="9" t="s">
        <v>54</v>
      </c>
      <c r="E200" s="9" t="s">
        <v>368</v>
      </c>
      <c r="F200" s="9"/>
      <c r="G200" s="9"/>
      <c r="H200" s="9"/>
      <c r="I200" s="10"/>
      <c r="J200" s="10"/>
      <c r="K200" s="11" t="n">
        <v>1200</v>
      </c>
      <c r="L200" s="12" t="str">
        <f aca="false">IFERROR(IF(N(J200)=0,"",(K200-J200)/J200),"")</f>
        <v/>
      </c>
      <c r="M200" s="9" t="s">
        <v>427</v>
      </c>
      <c r="N200" s="9" t="s">
        <v>143</v>
      </c>
      <c r="O200" s="9" t="s">
        <v>59</v>
      </c>
      <c r="P200" s="9" t="s">
        <v>13</v>
      </c>
    </row>
    <row r="201" customFormat="false" ht="15" hidden="false" customHeight="false" outlineLevel="0" collapsed="false">
      <c r="A201" s="9" t="s">
        <v>529</v>
      </c>
      <c r="B201" s="9" t="s">
        <v>530</v>
      </c>
      <c r="C201" s="9" t="n">
        <v>68</v>
      </c>
      <c r="D201" s="9" t="s">
        <v>54</v>
      </c>
      <c r="E201" s="9" t="s">
        <v>368</v>
      </c>
      <c r="F201" s="9"/>
      <c r="G201" s="9"/>
      <c r="H201" s="9"/>
      <c r="I201" s="10"/>
      <c r="J201" s="10"/>
      <c r="K201" s="11" t="n">
        <v>1200</v>
      </c>
      <c r="L201" s="12" t="str">
        <f aca="false">IFERROR(IF(N(J201)=0,"",(K201-J201)/J201),"")</f>
        <v/>
      </c>
      <c r="M201" s="9" t="s">
        <v>427</v>
      </c>
      <c r="N201" s="9" t="s">
        <v>488</v>
      </c>
      <c r="O201" s="9" t="s">
        <v>59</v>
      </c>
      <c r="P201" s="9" t="s">
        <v>13</v>
      </c>
    </row>
    <row r="202" customFormat="false" ht="15" hidden="false" customHeight="false" outlineLevel="0" collapsed="false">
      <c r="A202" s="9" t="s">
        <v>531</v>
      </c>
      <c r="B202" s="9" t="s">
        <v>532</v>
      </c>
      <c r="C202" s="9" t="n">
        <v>68</v>
      </c>
      <c r="D202" s="9" t="s">
        <v>444</v>
      </c>
      <c r="E202" s="9" t="s">
        <v>368</v>
      </c>
      <c r="F202" s="9"/>
      <c r="G202" s="9"/>
      <c r="H202" s="9"/>
      <c r="I202" s="10"/>
      <c r="J202" s="10"/>
      <c r="K202" s="11" t="n">
        <v>531.6</v>
      </c>
      <c r="L202" s="12" t="str">
        <f aca="false">IFERROR(IF(N(J202)=0,"",(K202-J202)/J202),"")</f>
        <v/>
      </c>
      <c r="M202" s="9" t="s">
        <v>427</v>
      </c>
      <c r="N202" s="9" t="s">
        <v>100</v>
      </c>
      <c r="O202" s="9" t="s">
        <v>59</v>
      </c>
      <c r="P202" s="9" t="s">
        <v>13</v>
      </c>
    </row>
    <row r="203" customFormat="false" ht="15" hidden="false" customHeight="false" outlineLevel="0" collapsed="false">
      <c r="A203" s="9" t="s">
        <v>533</v>
      </c>
      <c r="B203" s="9" t="s">
        <v>534</v>
      </c>
      <c r="C203" s="9" t="n">
        <v>68</v>
      </c>
      <c r="D203" s="9" t="s">
        <v>54</v>
      </c>
      <c r="E203" s="9" t="s">
        <v>368</v>
      </c>
      <c r="F203" s="9"/>
      <c r="G203" s="9"/>
      <c r="H203" s="9"/>
      <c r="I203" s="10"/>
      <c r="J203" s="10"/>
      <c r="K203" s="11" t="n">
        <v>1320</v>
      </c>
      <c r="L203" s="12" t="str">
        <f aca="false">IFERROR(IF(N(J203)=0,"",(K203-J203)/J203),"")</f>
        <v/>
      </c>
      <c r="M203" s="9" t="s">
        <v>427</v>
      </c>
      <c r="N203" s="9" t="s">
        <v>294</v>
      </c>
      <c r="O203" s="9" t="s">
        <v>59</v>
      </c>
      <c r="P203" s="9" t="s">
        <v>13</v>
      </c>
    </row>
    <row r="204" customFormat="false" ht="15" hidden="false" customHeight="false" outlineLevel="0" collapsed="false">
      <c r="A204" s="9" t="s">
        <v>535</v>
      </c>
      <c r="B204" s="9" t="s">
        <v>536</v>
      </c>
      <c r="C204" s="9" t="n">
        <v>68</v>
      </c>
      <c r="D204" s="9" t="s">
        <v>54</v>
      </c>
      <c r="E204" s="9" t="s">
        <v>368</v>
      </c>
      <c r="F204" s="9"/>
      <c r="G204" s="9"/>
      <c r="H204" s="9"/>
      <c r="I204" s="10"/>
      <c r="J204" s="10"/>
      <c r="K204" s="11" t="n">
        <v>1044</v>
      </c>
      <c r="L204" s="12" t="str">
        <f aca="false">IFERROR(IF(N(J204)=0,"",(K204-J204)/J204),"")</f>
        <v/>
      </c>
      <c r="M204" s="9" t="s">
        <v>427</v>
      </c>
      <c r="N204" s="9" t="s">
        <v>92</v>
      </c>
      <c r="O204" s="9" t="s">
        <v>59</v>
      </c>
      <c r="P204" s="9" t="s">
        <v>13</v>
      </c>
    </row>
    <row r="205" customFormat="false" ht="15" hidden="false" customHeight="false" outlineLevel="0" collapsed="false">
      <c r="A205" s="9" t="s">
        <v>537</v>
      </c>
      <c r="B205" s="9" t="s">
        <v>538</v>
      </c>
      <c r="C205" s="9" t="n">
        <v>68</v>
      </c>
      <c r="D205" s="9" t="s">
        <v>54</v>
      </c>
      <c r="E205" s="9" t="s">
        <v>368</v>
      </c>
      <c r="F205" s="9"/>
      <c r="G205" s="9"/>
      <c r="H205" s="9"/>
      <c r="I205" s="10"/>
      <c r="J205" s="10"/>
      <c r="K205" s="11" t="n">
        <v>1760</v>
      </c>
      <c r="L205" s="12" t="str">
        <f aca="false">IFERROR(IF(N(J205)=0,"",(K205-J205)/J205),"")</f>
        <v/>
      </c>
      <c r="M205" s="9" t="s">
        <v>427</v>
      </c>
      <c r="N205" s="9" t="s">
        <v>86</v>
      </c>
      <c r="O205" s="9" t="s">
        <v>87</v>
      </c>
      <c r="P205" s="9" t="s">
        <v>13</v>
      </c>
    </row>
    <row r="206" customFormat="false" ht="15" hidden="false" customHeight="false" outlineLevel="0" collapsed="false">
      <c r="A206" s="9" t="s">
        <v>539</v>
      </c>
      <c r="B206" s="9" t="s">
        <v>540</v>
      </c>
      <c r="C206" s="9" t="n">
        <v>68</v>
      </c>
      <c r="D206" s="9" t="s">
        <v>54</v>
      </c>
      <c r="E206" s="9" t="s">
        <v>368</v>
      </c>
      <c r="F206" s="9"/>
      <c r="G206" s="9"/>
      <c r="H206" s="9"/>
      <c r="I206" s="10"/>
      <c r="J206" s="10"/>
      <c r="K206" s="11" t="n">
        <v>160</v>
      </c>
      <c r="L206" s="12" t="str">
        <f aca="false">IFERROR(IF(N(J206)=0,"",(K206-J206)/J206),"")</f>
        <v/>
      </c>
      <c r="M206" s="9" t="s">
        <v>427</v>
      </c>
      <c r="N206" s="9" t="s">
        <v>318</v>
      </c>
      <c r="O206" s="9" t="s">
        <v>59</v>
      </c>
      <c r="P206" s="9" t="s">
        <v>13</v>
      </c>
    </row>
    <row r="207" customFormat="false" ht="15" hidden="false" customHeight="false" outlineLevel="0" collapsed="false">
      <c r="A207" s="9" t="s">
        <v>541</v>
      </c>
      <c r="B207" s="9" t="s">
        <v>542</v>
      </c>
      <c r="C207" s="9" t="n">
        <v>68</v>
      </c>
      <c r="D207" s="9" t="s">
        <v>54</v>
      </c>
      <c r="E207" s="9" t="s">
        <v>368</v>
      </c>
      <c r="F207" s="9"/>
      <c r="G207" s="9"/>
      <c r="H207" s="9"/>
      <c r="I207" s="10"/>
      <c r="J207" s="10"/>
      <c r="K207" s="11" t="n">
        <v>1260</v>
      </c>
      <c r="L207" s="12" t="str">
        <f aca="false">IFERROR(IF(N(J207)=0,"",(K207-J207)/J207),"")</f>
        <v/>
      </c>
      <c r="M207" s="9" t="s">
        <v>427</v>
      </c>
      <c r="N207" s="9" t="s">
        <v>289</v>
      </c>
      <c r="O207" s="9" t="s">
        <v>59</v>
      </c>
      <c r="P207" s="9" t="s">
        <v>13</v>
      </c>
    </row>
    <row r="208" customFormat="false" ht="15" hidden="false" customHeight="false" outlineLevel="0" collapsed="false">
      <c r="A208" s="9" t="s">
        <v>543</v>
      </c>
      <c r="B208" s="9" t="s">
        <v>544</v>
      </c>
      <c r="C208" s="9" t="n">
        <v>68</v>
      </c>
      <c r="D208" s="9" t="s">
        <v>54</v>
      </c>
      <c r="E208" s="9" t="s">
        <v>368</v>
      </c>
      <c r="F208" s="9"/>
      <c r="G208" s="9"/>
      <c r="H208" s="9"/>
      <c r="I208" s="10"/>
      <c r="J208" s="10"/>
      <c r="K208" s="11" t="n">
        <v>930</v>
      </c>
      <c r="L208" s="12" t="str">
        <f aca="false">IFERROR(IF(N(J208)=0,"",(K208-J208)/J208),"")</f>
        <v/>
      </c>
      <c r="M208" s="9" t="s">
        <v>427</v>
      </c>
      <c r="N208" s="9" t="s">
        <v>86</v>
      </c>
      <c r="O208" s="9" t="s">
        <v>59</v>
      </c>
      <c r="P208" s="9" t="s">
        <v>13</v>
      </c>
    </row>
    <row r="209" customFormat="false" ht="15" hidden="false" customHeight="false" outlineLevel="0" collapsed="false">
      <c r="A209" s="9" t="s">
        <v>545</v>
      </c>
      <c r="B209" s="9" t="s">
        <v>546</v>
      </c>
      <c r="C209" s="9" t="n">
        <v>68</v>
      </c>
      <c r="D209" s="9" t="s">
        <v>54</v>
      </c>
      <c r="E209" s="9" t="s">
        <v>368</v>
      </c>
      <c r="F209" s="9"/>
      <c r="G209" s="9"/>
      <c r="H209" s="9"/>
      <c r="I209" s="10"/>
      <c r="J209" s="10"/>
      <c r="K209" s="11" t="n">
        <v>1800</v>
      </c>
      <c r="L209" s="12" t="str">
        <f aca="false">IFERROR(IF(N(J209)=0,"",(K209-J209)/J209),"")</f>
        <v/>
      </c>
      <c r="M209" s="9" t="s">
        <v>427</v>
      </c>
      <c r="N209" s="9" t="s">
        <v>294</v>
      </c>
      <c r="O209" s="9" t="s">
        <v>87</v>
      </c>
      <c r="P209" s="9" t="s">
        <v>13</v>
      </c>
    </row>
    <row r="210" customFormat="false" ht="15" hidden="false" customHeight="false" outlineLevel="0" collapsed="false">
      <c r="A210" s="9" t="s">
        <v>547</v>
      </c>
      <c r="B210" s="9" t="s">
        <v>548</v>
      </c>
      <c r="C210" s="9" t="n">
        <v>68</v>
      </c>
      <c r="D210" s="9" t="s">
        <v>54</v>
      </c>
      <c r="E210" s="9" t="s">
        <v>368</v>
      </c>
      <c r="F210" s="9"/>
      <c r="G210" s="9"/>
      <c r="H210" s="9"/>
      <c r="I210" s="10"/>
      <c r="J210" s="10"/>
      <c r="K210" s="11" t="n">
        <v>1400</v>
      </c>
      <c r="L210" s="12" t="str">
        <f aca="false">IFERROR(IF(N(J210)=0,"",(K210-J210)/J210),"")</f>
        <v/>
      </c>
      <c r="M210" s="9" t="s">
        <v>427</v>
      </c>
      <c r="N210" s="9" t="s">
        <v>294</v>
      </c>
      <c r="O210" s="9" t="s">
        <v>59</v>
      </c>
      <c r="P210" s="9" t="s">
        <v>13</v>
      </c>
    </row>
    <row r="211" customFormat="false" ht="15" hidden="false" customHeight="false" outlineLevel="0" collapsed="false">
      <c r="A211" s="9" t="s">
        <v>549</v>
      </c>
      <c r="B211" s="9" t="s">
        <v>550</v>
      </c>
      <c r="C211" s="9" t="n">
        <v>68</v>
      </c>
      <c r="D211" s="9" t="s">
        <v>54</v>
      </c>
      <c r="E211" s="9" t="s">
        <v>368</v>
      </c>
      <c r="F211" s="9"/>
      <c r="G211" s="9"/>
      <c r="H211" s="9"/>
      <c r="I211" s="10"/>
      <c r="J211" s="10"/>
      <c r="K211" s="11" t="n">
        <v>1926</v>
      </c>
      <c r="L211" s="12" t="str">
        <f aca="false">IFERROR(IF(N(J211)=0,"",(K211-J211)/J211),"")</f>
        <v/>
      </c>
      <c r="M211" s="9" t="s">
        <v>427</v>
      </c>
      <c r="N211" s="9" t="s">
        <v>86</v>
      </c>
      <c r="O211" s="9" t="s">
        <v>87</v>
      </c>
      <c r="P211" s="9" t="s">
        <v>13</v>
      </c>
    </row>
    <row r="212" customFormat="false" ht="15" hidden="false" customHeight="false" outlineLevel="0" collapsed="false">
      <c r="A212" s="9" t="s">
        <v>551</v>
      </c>
      <c r="B212" s="9" t="s">
        <v>552</v>
      </c>
      <c r="C212" s="9" t="n">
        <v>68</v>
      </c>
      <c r="D212" s="9" t="s">
        <v>54</v>
      </c>
      <c r="E212" s="9" t="s">
        <v>368</v>
      </c>
      <c r="F212" s="9"/>
      <c r="G212" s="9"/>
      <c r="H212" s="9"/>
      <c r="I212" s="10"/>
      <c r="J212" s="10"/>
      <c r="K212" s="11" t="n">
        <v>450</v>
      </c>
      <c r="L212" s="12" t="str">
        <f aca="false">IFERROR(IF(N(J212)=0,"",(K212-J212)/J212),"")</f>
        <v/>
      </c>
      <c r="M212" s="9" t="s">
        <v>427</v>
      </c>
      <c r="N212" s="9" t="s">
        <v>271</v>
      </c>
      <c r="O212" s="9" t="s">
        <v>59</v>
      </c>
      <c r="P212" s="9" t="s">
        <v>13</v>
      </c>
    </row>
    <row r="213" customFormat="false" ht="15" hidden="false" customHeight="false" outlineLevel="0" collapsed="false">
      <c r="A213" s="9" t="s">
        <v>553</v>
      </c>
      <c r="B213" s="9" t="s">
        <v>554</v>
      </c>
      <c r="C213" s="9" t="n">
        <v>68</v>
      </c>
      <c r="D213" s="9" t="s">
        <v>54</v>
      </c>
      <c r="E213" s="9" t="s">
        <v>368</v>
      </c>
      <c r="F213" s="9"/>
      <c r="G213" s="9"/>
      <c r="H213" s="9"/>
      <c r="I213" s="10"/>
      <c r="J213" s="10"/>
      <c r="K213" s="11" t="n">
        <v>405</v>
      </c>
      <c r="L213" s="12" t="str">
        <f aca="false">IFERROR(IF(N(J213)=0,"",(K213-J213)/J213),"")</f>
        <v/>
      </c>
      <c r="M213" s="9" t="s">
        <v>427</v>
      </c>
      <c r="N213" s="9" t="s">
        <v>271</v>
      </c>
      <c r="O213" s="9" t="s">
        <v>59</v>
      </c>
      <c r="P213" s="9" t="s">
        <v>13</v>
      </c>
    </row>
    <row r="214" customFormat="false" ht="15" hidden="false" customHeight="false" outlineLevel="0" collapsed="false">
      <c r="A214" s="9" t="s">
        <v>555</v>
      </c>
      <c r="B214" s="9" t="s">
        <v>556</v>
      </c>
      <c r="C214" s="9" t="n">
        <v>68</v>
      </c>
      <c r="D214" s="9" t="s">
        <v>54</v>
      </c>
      <c r="E214" s="9" t="s">
        <v>368</v>
      </c>
      <c r="F214" s="9"/>
      <c r="G214" s="9"/>
      <c r="H214" s="9"/>
      <c r="I214" s="10"/>
      <c r="J214" s="10"/>
      <c r="K214" s="11" t="n">
        <v>705</v>
      </c>
      <c r="L214" s="12" t="str">
        <f aca="false">IFERROR(IF(N(J214)=0,"",(K214-J214)/J214),"")</f>
        <v/>
      </c>
      <c r="M214" s="9" t="s">
        <v>427</v>
      </c>
      <c r="N214" s="9" t="s">
        <v>271</v>
      </c>
      <c r="O214" s="9" t="s">
        <v>59</v>
      </c>
      <c r="P214" s="9" t="s">
        <v>13</v>
      </c>
    </row>
    <row r="215" customFormat="false" ht="15" hidden="false" customHeight="false" outlineLevel="0" collapsed="false">
      <c r="A215" s="9" t="s">
        <v>557</v>
      </c>
      <c r="B215" s="9" t="s">
        <v>558</v>
      </c>
      <c r="C215" s="9" t="n">
        <v>78</v>
      </c>
      <c r="D215" s="9" t="s">
        <v>54</v>
      </c>
      <c r="E215" s="9" t="s">
        <v>368</v>
      </c>
      <c r="F215" s="9"/>
      <c r="G215" s="9"/>
      <c r="H215" s="9"/>
      <c r="I215" s="10"/>
      <c r="J215" s="10"/>
      <c r="K215" s="11" t="n">
        <v>300</v>
      </c>
      <c r="L215" s="12" t="str">
        <f aca="false">IFERROR(IF(N(J215)=0,"",(K215-J215)/J215),"")</f>
        <v/>
      </c>
      <c r="M215" s="9" t="s">
        <v>427</v>
      </c>
      <c r="N215" s="9" t="s">
        <v>271</v>
      </c>
      <c r="O215" s="9" t="s">
        <v>59</v>
      </c>
      <c r="P215" s="9" t="s">
        <v>13</v>
      </c>
    </row>
    <row r="216" customFormat="false" ht="15" hidden="false" customHeight="false" outlineLevel="0" collapsed="false">
      <c r="A216" s="9" t="s">
        <v>559</v>
      </c>
      <c r="B216" s="9" t="s">
        <v>560</v>
      </c>
      <c r="C216" s="9" t="n">
        <v>68</v>
      </c>
      <c r="D216" s="9" t="s">
        <v>54</v>
      </c>
      <c r="E216" s="9" t="s">
        <v>368</v>
      </c>
      <c r="F216" s="9"/>
      <c r="G216" s="9"/>
      <c r="H216" s="9"/>
      <c r="I216" s="10"/>
      <c r="J216" s="10"/>
      <c r="K216" s="11" t="n">
        <v>600</v>
      </c>
      <c r="L216" s="12" t="str">
        <f aca="false">IFERROR(IF(N(J216)=0,"",(K216-J216)/J216),"")</f>
        <v/>
      </c>
      <c r="M216" s="9" t="s">
        <v>427</v>
      </c>
      <c r="N216" s="9" t="s">
        <v>271</v>
      </c>
      <c r="O216" s="9" t="s">
        <v>59</v>
      </c>
      <c r="P216" s="9" t="s">
        <v>13</v>
      </c>
    </row>
    <row r="217" customFormat="false" ht="15" hidden="false" customHeight="false" outlineLevel="0" collapsed="false">
      <c r="A217" s="9" t="s">
        <v>561</v>
      </c>
      <c r="B217" s="9" t="s">
        <v>562</v>
      </c>
      <c r="C217" s="9" t="n">
        <v>68</v>
      </c>
      <c r="D217" s="9" t="s">
        <v>54</v>
      </c>
      <c r="E217" s="9" t="s">
        <v>368</v>
      </c>
      <c r="F217" s="9"/>
      <c r="G217" s="9"/>
      <c r="H217" s="9"/>
      <c r="I217" s="10"/>
      <c r="J217" s="10"/>
      <c r="K217" s="11" t="n">
        <v>400</v>
      </c>
      <c r="L217" s="12" t="str">
        <f aca="false">IFERROR(IF(N(J217)=0,"",(K217-J217)/J217),"")</f>
        <v/>
      </c>
      <c r="M217" s="9" t="s">
        <v>427</v>
      </c>
      <c r="N217" s="9" t="s">
        <v>326</v>
      </c>
      <c r="O217" s="9" t="s">
        <v>59</v>
      </c>
      <c r="P217" s="9" t="s">
        <v>13</v>
      </c>
    </row>
    <row r="218" customFormat="false" ht="15" hidden="false" customHeight="false" outlineLevel="0" collapsed="false">
      <c r="A218" s="9" t="s">
        <v>563</v>
      </c>
      <c r="B218" s="9" t="s">
        <v>564</v>
      </c>
      <c r="C218" s="9" t="n">
        <v>68</v>
      </c>
      <c r="D218" s="9" t="s">
        <v>54</v>
      </c>
      <c r="E218" s="9" t="s">
        <v>368</v>
      </c>
      <c r="F218" s="9"/>
      <c r="G218" s="9"/>
      <c r="H218" s="9"/>
      <c r="I218" s="10"/>
      <c r="J218" s="10"/>
      <c r="K218" s="11" t="n">
        <v>450</v>
      </c>
      <c r="L218" s="12" t="str">
        <f aca="false">IFERROR(IF(N(J218)=0,"",(K218-J218)/J218),"")</f>
        <v/>
      </c>
      <c r="M218" s="9" t="s">
        <v>427</v>
      </c>
      <c r="N218" s="9" t="s">
        <v>326</v>
      </c>
      <c r="O218" s="9" t="s">
        <v>59</v>
      </c>
      <c r="P218" s="9" t="s">
        <v>13</v>
      </c>
    </row>
    <row r="219" customFormat="false" ht="15" hidden="false" customHeight="false" outlineLevel="0" collapsed="false">
      <c r="A219" s="9" t="s">
        <v>565</v>
      </c>
      <c r="B219" s="9" t="s">
        <v>566</v>
      </c>
      <c r="C219" s="9" t="n">
        <v>68</v>
      </c>
      <c r="D219" s="9" t="s">
        <v>54</v>
      </c>
      <c r="E219" s="9" t="s">
        <v>368</v>
      </c>
      <c r="F219" s="9"/>
      <c r="G219" s="9"/>
      <c r="H219" s="9"/>
      <c r="I219" s="10"/>
      <c r="J219" s="10"/>
      <c r="K219" s="11" t="n">
        <v>843.75</v>
      </c>
      <c r="L219" s="12" t="str">
        <f aca="false">IFERROR(IF(N(J219)=0,"",(K219-J219)/J219),"")</f>
        <v/>
      </c>
      <c r="M219" s="9" t="s">
        <v>427</v>
      </c>
      <c r="N219" s="9" t="s">
        <v>245</v>
      </c>
      <c r="O219" s="9" t="s">
        <v>59</v>
      </c>
      <c r="P219" s="9" t="s">
        <v>13</v>
      </c>
    </row>
    <row r="220" customFormat="false" ht="15" hidden="false" customHeight="false" outlineLevel="0" collapsed="false">
      <c r="A220" s="9" t="s">
        <v>567</v>
      </c>
      <c r="B220" s="9" t="s">
        <v>568</v>
      </c>
      <c r="C220" s="9" t="n">
        <v>68</v>
      </c>
      <c r="D220" s="9" t="s">
        <v>54</v>
      </c>
      <c r="E220" s="9" t="s">
        <v>368</v>
      </c>
      <c r="F220" s="9"/>
      <c r="G220" s="9"/>
      <c r="H220" s="9"/>
      <c r="I220" s="10"/>
      <c r="J220" s="10"/>
      <c r="K220" s="11" t="n">
        <v>227.64</v>
      </c>
      <c r="L220" s="12" t="str">
        <f aca="false">IFERROR(IF(N(J220)=0,"",(K220-J220)/J220),"")</f>
        <v/>
      </c>
      <c r="M220" s="9" t="s">
        <v>427</v>
      </c>
      <c r="N220" s="9" t="s">
        <v>100</v>
      </c>
      <c r="O220" s="9" t="s">
        <v>59</v>
      </c>
      <c r="P220" s="9" t="s">
        <v>13</v>
      </c>
    </row>
    <row r="221" customFormat="false" ht="15" hidden="false" customHeight="false" outlineLevel="0" collapsed="false">
      <c r="A221" s="9" t="s">
        <v>569</v>
      </c>
      <c r="B221" s="9" t="s">
        <v>570</v>
      </c>
      <c r="C221" s="9" t="s">
        <v>70</v>
      </c>
      <c r="D221" s="9" t="s">
        <v>54</v>
      </c>
      <c r="E221" s="9" t="s">
        <v>368</v>
      </c>
      <c r="F221" s="9"/>
      <c r="G221" s="9"/>
      <c r="H221" s="9"/>
      <c r="I221" s="10"/>
      <c r="J221" s="10"/>
      <c r="K221" s="11" t="n">
        <v>33</v>
      </c>
      <c r="L221" s="12" t="str">
        <f aca="false">IFERROR(IF(N(J221)=0,"",(K221-J221)/J221),"")</f>
        <v/>
      </c>
      <c r="M221" s="9" t="s">
        <v>427</v>
      </c>
      <c r="N221" s="9" t="s">
        <v>571</v>
      </c>
      <c r="O221" s="9" t="s">
        <v>59</v>
      </c>
      <c r="P221" s="9" t="s">
        <v>13</v>
      </c>
    </row>
    <row r="222" customFormat="false" ht="15" hidden="false" customHeight="false" outlineLevel="0" collapsed="false">
      <c r="A222" s="9" t="s">
        <v>572</v>
      </c>
      <c r="B222" s="9" t="s">
        <v>573</v>
      </c>
      <c r="C222" s="9" t="n">
        <v>68</v>
      </c>
      <c r="D222" s="9" t="s">
        <v>54</v>
      </c>
      <c r="E222" s="9" t="s">
        <v>368</v>
      </c>
      <c r="F222" s="9"/>
      <c r="G222" s="9"/>
      <c r="H222" s="9"/>
      <c r="I222" s="10"/>
      <c r="J222" s="10"/>
      <c r="K222" s="11" t="n">
        <v>480</v>
      </c>
      <c r="L222" s="12" t="str">
        <f aca="false">IFERROR(IF(N(J222)=0,"",(K222-J222)/J222),"")</f>
        <v/>
      </c>
      <c r="M222" s="9" t="s">
        <v>427</v>
      </c>
      <c r="N222" s="9" t="s">
        <v>301</v>
      </c>
      <c r="O222" s="9" t="s">
        <v>59</v>
      </c>
      <c r="P222" s="9" t="s">
        <v>13</v>
      </c>
    </row>
    <row r="223" customFormat="false" ht="15" hidden="false" customHeight="false" outlineLevel="0" collapsed="false">
      <c r="A223" s="9" t="s">
        <v>574</v>
      </c>
      <c r="B223" s="9" t="s">
        <v>575</v>
      </c>
      <c r="C223" s="9" t="n">
        <v>68</v>
      </c>
      <c r="D223" s="9" t="s">
        <v>54</v>
      </c>
      <c r="E223" s="9" t="s">
        <v>368</v>
      </c>
      <c r="F223" s="9"/>
      <c r="G223" s="9"/>
      <c r="H223" s="9"/>
      <c r="I223" s="10"/>
      <c r="J223" s="10"/>
      <c r="K223" s="11" t="n">
        <v>533</v>
      </c>
      <c r="L223" s="12" t="str">
        <f aca="false">IFERROR(IF(N(J223)=0,"",(K223-J223)/J223),"")</f>
        <v/>
      </c>
      <c r="M223" s="9" t="s">
        <v>427</v>
      </c>
      <c r="N223" s="9" t="s">
        <v>301</v>
      </c>
      <c r="O223" s="9" t="s">
        <v>59</v>
      </c>
      <c r="P223" s="9" t="s">
        <v>13</v>
      </c>
    </row>
    <row r="224" customFormat="false" ht="15" hidden="false" customHeight="false" outlineLevel="0" collapsed="false">
      <c r="A224" s="9" t="s">
        <v>576</v>
      </c>
      <c r="B224" s="9" t="s">
        <v>577</v>
      </c>
      <c r="C224" s="9" t="n">
        <v>68</v>
      </c>
      <c r="D224" s="9" t="s">
        <v>54</v>
      </c>
      <c r="E224" s="9" t="s">
        <v>368</v>
      </c>
      <c r="F224" s="9"/>
      <c r="G224" s="9"/>
      <c r="H224" s="9"/>
      <c r="I224" s="10"/>
      <c r="J224" s="10"/>
      <c r="K224" s="11" t="n">
        <v>528</v>
      </c>
      <c r="L224" s="12" t="str">
        <f aca="false">IFERROR(IF(N(J224)=0,"",(K224-J224)/J224),"")</f>
        <v/>
      </c>
      <c r="M224" s="9" t="s">
        <v>427</v>
      </c>
      <c r="N224" s="9" t="s">
        <v>301</v>
      </c>
      <c r="O224" s="9" t="s">
        <v>59</v>
      </c>
      <c r="P224" s="9" t="s">
        <v>13</v>
      </c>
    </row>
    <row r="225" customFormat="false" ht="15" hidden="false" customHeight="false" outlineLevel="0" collapsed="false">
      <c r="A225" s="9" t="s">
        <v>578</v>
      </c>
      <c r="B225" s="9" t="s">
        <v>579</v>
      </c>
      <c r="C225" s="9" t="n">
        <v>68</v>
      </c>
      <c r="D225" s="9" t="s">
        <v>54</v>
      </c>
      <c r="E225" s="9" t="s">
        <v>368</v>
      </c>
      <c r="F225" s="9"/>
      <c r="G225" s="9"/>
      <c r="H225" s="9"/>
      <c r="I225" s="10"/>
      <c r="J225" s="10"/>
      <c r="K225" s="11" t="n">
        <v>666</v>
      </c>
      <c r="L225" s="12" t="str">
        <f aca="false">IFERROR(IF(N(J225)=0,"",(K225-J225)/J225),"")</f>
        <v/>
      </c>
      <c r="M225" s="9" t="s">
        <v>427</v>
      </c>
      <c r="N225" s="9" t="s">
        <v>301</v>
      </c>
      <c r="O225" s="9" t="s">
        <v>59</v>
      </c>
      <c r="P225" s="9" t="s">
        <v>13</v>
      </c>
    </row>
    <row r="226" customFormat="false" ht="15" hidden="false" customHeight="false" outlineLevel="0" collapsed="false">
      <c r="A226" s="9" t="s">
        <v>580</v>
      </c>
      <c r="B226" s="9" t="s">
        <v>581</v>
      </c>
      <c r="C226" s="9" t="n">
        <v>68</v>
      </c>
      <c r="D226" s="9" t="s">
        <v>54</v>
      </c>
      <c r="E226" s="9" t="s">
        <v>368</v>
      </c>
      <c r="F226" s="9"/>
      <c r="G226" s="9"/>
      <c r="H226" s="9"/>
      <c r="I226" s="10"/>
      <c r="J226" s="10"/>
      <c r="K226" s="11" t="n">
        <v>500</v>
      </c>
      <c r="L226" s="12" t="str">
        <f aca="false">IFERROR(IF(N(J226)=0,"",(K226-J226)/J226),"")</f>
        <v/>
      </c>
      <c r="M226" s="9" t="s">
        <v>427</v>
      </c>
      <c r="N226" s="9" t="s">
        <v>301</v>
      </c>
      <c r="O226" s="9" t="s">
        <v>59</v>
      </c>
      <c r="P226" s="9" t="s">
        <v>13</v>
      </c>
    </row>
    <row r="227" customFormat="false" ht="15" hidden="false" customHeight="false" outlineLevel="0" collapsed="false">
      <c r="A227" s="9" t="s">
        <v>582</v>
      </c>
      <c r="B227" s="9" t="s">
        <v>583</v>
      </c>
      <c r="C227" s="9" t="n">
        <v>68</v>
      </c>
      <c r="D227" s="9" t="s">
        <v>54</v>
      </c>
      <c r="E227" s="9" t="s">
        <v>368</v>
      </c>
      <c r="F227" s="9"/>
      <c r="G227" s="9"/>
      <c r="H227" s="9"/>
      <c r="I227" s="10"/>
      <c r="J227" s="10"/>
      <c r="K227" s="11" t="n">
        <v>432</v>
      </c>
      <c r="L227" s="12" t="str">
        <f aca="false">IFERROR(IF(N(J227)=0,"",(K227-J227)/J227),"")</f>
        <v/>
      </c>
      <c r="M227" s="9" t="s">
        <v>427</v>
      </c>
      <c r="N227" s="9" t="s">
        <v>326</v>
      </c>
      <c r="O227" s="9" t="s">
        <v>59</v>
      </c>
      <c r="P227" s="9" t="s">
        <v>13</v>
      </c>
    </row>
    <row r="228" customFormat="false" ht="15" hidden="false" customHeight="false" outlineLevel="0" collapsed="false">
      <c r="A228" s="9" t="s">
        <v>584</v>
      </c>
      <c r="B228" s="9" t="s">
        <v>585</v>
      </c>
      <c r="C228" s="9" t="n">
        <v>68</v>
      </c>
      <c r="D228" s="9" t="s">
        <v>54</v>
      </c>
      <c r="E228" s="9" t="s">
        <v>368</v>
      </c>
      <c r="F228" s="9"/>
      <c r="G228" s="9"/>
      <c r="H228" s="9"/>
      <c r="I228" s="10"/>
      <c r="J228" s="10"/>
      <c r="K228" s="11" t="n">
        <v>950</v>
      </c>
      <c r="L228" s="12" t="str">
        <f aca="false">IFERROR(IF(N(J228)=0,"",(K228-J228)/J228),"")</f>
        <v/>
      </c>
      <c r="M228" s="9" t="s">
        <v>427</v>
      </c>
      <c r="N228" s="9" t="s">
        <v>347</v>
      </c>
      <c r="O228" s="9" t="s">
        <v>59</v>
      </c>
      <c r="P228" s="9" t="s">
        <v>13</v>
      </c>
    </row>
    <row r="229" customFormat="false" ht="15" hidden="false" customHeight="false" outlineLevel="0" collapsed="false">
      <c r="A229" s="9" t="s">
        <v>586</v>
      </c>
      <c r="B229" s="9" t="s">
        <v>587</v>
      </c>
      <c r="C229" s="9" t="n">
        <v>68</v>
      </c>
      <c r="D229" s="9" t="s">
        <v>54</v>
      </c>
      <c r="E229" s="9" t="s">
        <v>368</v>
      </c>
      <c r="F229" s="9"/>
      <c r="G229" s="9"/>
      <c r="H229" s="9"/>
      <c r="I229" s="10"/>
      <c r="J229" s="10"/>
      <c r="K229" s="11" t="n">
        <v>1250</v>
      </c>
      <c r="L229" s="12" t="str">
        <f aca="false">IFERROR(IF(N(J229)=0,"",(K229-J229)/J229),"")</f>
        <v/>
      </c>
      <c r="M229" s="9" t="s">
        <v>427</v>
      </c>
      <c r="N229" s="9" t="s">
        <v>347</v>
      </c>
      <c r="O229" s="9" t="s">
        <v>59</v>
      </c>
      <c r="P229" s="9" t="s">
        <v>13</v>
      </c>
    </row>
    <row r="230" customFormat="false" ht="15" hidden="false" customHeight="false" outlineLevel="0" collapsed="false">
      <c r="A230" s="9" t="s">
        <v>588</v>
      </c>
      <c r="B230" s="9" t="s">
        <v>589</v>
      </c>
      <c r="C230" s="9" t="n">
        <v>68</v>
      </c>
      <c r="D230" s="9" t="s">
        <v>54</v>
      </c>
      <c r="E230" s="9" t="s">
        <v>368</v>
      </c>
      <c r="F230" s="9"/>
      <c r="G230" s="9"/>
      <c r="H230" s="9"/>
      <c r="I230" s="10"/>
      <c r="J230" s="10"/>
      <c r="K230" s="11" t="n">
        <v>395.1</v>
      </c>
      <c r="L230" s="12" t="str">
        <f aca="false">IFERROR(IF(N(J230)=0,"",(K230-J230)/J230),"")</f>
        <v/>
      </c>
      <c r="M230" s="9" t="s">
        <v>427</v>
      </c>
      <c r="N230" s="9" t="s">
        <v>326</v>
      </c>
      <c r="O230" s="9" t="s">
        <v>59</v>
      </c>
      <c r="P230" s="9" t="s">
        <v>13</v>
      </c>
    </row>
    <row r="231" customFormat="false" ht="15" hidden="false" customHeight="false" outlineLevel="0" collapsed="false">
      <c r="A231" s="9" t="s">
        <v>590</v>
      </c>
      <c r="B231" s="9" t="s">
        <v>591</v>
      </c>
      <c r="C231" s="9" t="n">
        <v>68</v>
      </c>
      <c r="D231" s="9" t="s">
        <v>54</v>
      </c>
      <c r="E231" s="9" t="s">
        <v>368</v>
      </c>
      <c r="F231" s="9"/>
      <c r="G231" s="9"/>
      <c r="H231" s="9"/>
      <c r="I231" s="10"/>
      <c r="J231" s="10"/>
      <c r="K231" s="11" t="n">
        <v>380</v>
      </c>
      <c r="L231" s="12" t="str">
        <f aca="false">IFERROR(IF(N(J231)=0,"",(K231-J231)/J231),"")</f>
        <v/>
      </c>
      <c r="M231" s="9" t="s">
        <v>427</v>
      </c>
      <c r="N231" s="9" t="s">
        <v>92</v>
      </c>
      <c r="O231" s="9" t="s">
        <v>59</v>
      </c>
      <c r="P231" s="9" t="s">
        <v>13</v>
      </c>
    </row>
    <row r="232" customFormat="false" ht="15" hidden="false" customHeight="false" outlineLevel="0" collapsed="false">
      <c r="A232" s="9" t="s">
        <v>592</v>
      </c>
      <c r="B232" s="9" t="s">
        <v>593</v>
      </c>
      <c r="C232" s="9" t="n">
        <v>68</v>
      </c>
      <c r="D232" s="9" t="s">
        <v>54</v>
      </c>
      <c r="E232" s="9" t="s">
        <v>368</v>
      </c>
      <c r="F232" s="9"/>
      <c r="G232" s="9"/>
      <c r="H232" s="9"/>
      <c r="I232" s="10"/>
      <c r="J232" s="10"/>
      <c r="K232" s="11" t="n">
        <v>1059</v>
      </c>
      <c r="L232" s="12" t="str">
        <f aca="false">IFERROR(IF(N(J232)=0,"",(K232-J232)/J232),"")</f>
        <v/>
      </c>
      <c r="M232" s="9" t="s">
        <v>427</v>
      </c>
      <c r="N232" s="9" t="s">
        <v>294</v>
      </c>
      <c r="O232" s="9" t="s">
        <v>59</v>
      </c>
      <c r="P232" s="9" t="s">
        <v>13</v>
      </c>
    </row>
    <row r="233" customFormat="false" ht="15" hidden="false" customHeight="false" outlineLevel="0" collapsed="false">
      <c r="A233" s="9" t="s">
        <v>594</v>
      </c>
      <c r="B233" s="9" t="s">
        <v>595</v>
      </c>
      <c r="C233" s="9" t="n">
        <v>68</v>
      </c>
      <c r="D233" s="9" t="s">
        <v>54</v>
      </c>
      <c r="E233" s="9" t="s">
        <v>368</v>
      </c>
      <c r="F233" s="9"/>
      <c r="G233" s="9"/>
      <c r="H233" s="9"/>
      <c r="I233" s="10"/>
      <c r="J233" s="10"/>
      <c r="K233" s="11" t="n">
        <v>130</v>
      </c>
      <c r="L233" s="12" t="str">
        <f aca="false">IFERROR(IF(N(J233)=0,"",(K233-J233)/J233),"")</f>
        <v/>
      </c>
      <c r="M233" s="9" t="s">
        <v>427</v>
      </c>
      <c r="N233" s="9" t="s">
        <v>318</v>
      </c>
      <c r="O233" s="9" t="s">
        <v>59</v>
      </c>
      <c r="P233" s="9" t="s">
        <v>13</v>
      </c>
    </row>
    <row r="234" customFormat="false" ht="15" hidden="false" customHeight="false" outlineLevel="0" collapsed="false">
      <c r="A234" s="9" t="s">
        <v>596</v>
      </c>
      <c r="B234" s="9" t="s">
        <v>597</v>
      </c>
      <c r="C234" s="9" t="n">
        <v>68</v>
      </c>
      <c r="D234" s="9" t="s">
        <v>54</v>
      </c>
      <c r="E234" s="9" t="s">
        <v>368</v>
      </c>
      <c r="F234" s="9"/>
      <c r="G234" s="9"/>
      <c r="H234" s="9"/>
      <c r="I234" s="10"/>
      <c r="J234" s="10"/>
      <c r="K234" s="11" t="n">
        <v>1270</v>
      </c>
      <c r="L234" s="12" t="str">
        <f aca="false">IFERROR(IF(N(J234)=0,"",(K234-J234)/J234),"")</f>
        <v/>
      </c>
      <c r="M234" s="9" t="s">
        <v>427</v>
      </c>
      <c r="N234" s="9" t="s">
        <v>86</v>
      </c>
      <c r="O234" s="9" t="s">
        <v>59</v>
      </c>
      <c r="P234" s="9" t="s">
        <v>13</v>
      </c>
    </row>
    <row r="235" customFormat="false" ht="15" hidden="false" customHeight="false" outlineLevel="0" collapsed="false">
      <c r="A235" s="9" t="s">
        <v>598</v>
      </c>
      <c r="B235" s="9" t="s">
        <v>599</v>
      </c>
      <c r="C235" s="9" t="n">
        <v>68</v>
      </c>
      <c r="D235" s="9" t="s">
        <v>54</v>
      </c>
      <c r="E235" s="9" t="s">
        <v>368</v>
      </c>
      <c r="F235" s="9"/>
      <c r="G235" s="9"/>
      <c r="H235" s="9"/>
      <c r="I235" s="10"/>
      <c r="J235" s="10"/>
      <c r="K235" s="11" t="n">
        <v>693</v>
      </c>
      <c r="L235" s="12" t="str">
        <f aca="false">IFERROR(IF(N(J235)=0,"",(K235-J235)/J235),"")</f>
        <v/>
      </c>
      <c r="M235" s="9" t="s">
        <v>427</v>
      </c>
      <c r="N235" s="9" t="s">
        <v>326</v>
      </c>
      <c r="O235" s="9" t="s">
        <v>59</v>
      </c>
      <c r="P235" s="9" t="s">
        <v>13</v>
      </c>
    </row>
    <row r="236" customFormat="false" ht="15" hidden="false" customHeight="false" outlineLevel="0" collapsed="false">
      <c r="A236" s="9" t="s">
        <v>600</v>
      </c>
      <c r="B236" s="9" t="s">
        <v>601</v>
      </c>
      <c r="C236" s="9" t="n">
        <v>68</v>
      </c>
      <c r="D236" s="9" t="s">
        <v>54</v>
      </c>
      <c r="E236" s="9" t="s">
        <v>368</v>
      </c>
      <c r="F236" s="9"/>
      <c r="G236" s="9"/>
      <c r="H236" s="9"/>
      <c r="I236" s="10"/>
      <c r="J236" s="10"/>
      <c r="K236" s="11" t="n">
        <v>760</v>
      </c>
      <c r="L236" s="12" t="str">
        <f aca="false">IFERROR(IF(N(J236)=0,"",(K236-J236)/J236),"")</f>
        <v/>
      </c>
      <c r="M236" s="9" t="s">
        <v>427</v>
      </c>
      <c r="N236" s="9" t="s">
        <v>92</v>
      </c>
      <c r="O236" s="9" t="s">
        <v>59</v>
      </c>
      <c r="P236" s="9" t="s">
        <v>13</v>
      </c>
    </row>
    <row r="237" customFormat="false" ht="15" hidden="false" customHeight="false" outlineLevel="0" collapsed="false">
      <c r="A237" s="9" t="s">
        <v>602</v>
      </c>
      <c r="B237" s="9" t="s">
        <v>603</v>
      </c>
      <c r="C237" s="9" t="n">
        <v>68</v>
      </c>
      <c r="D237" s="9" t="s">
        <v>54</v>
      </c>
      <c r="E237" s="9" t="s">
        <v>368</v>
      </c>
      <c r="F237" s="9"/>
      <c r="G237" s="9"/>
      <c r="H237" s="9"/>
      <c r="I237" s="10"/>
      <c r="J237" s="10"/>
      <c r="K237" s="11" t="n">
        <v>1513.8</v>
      </c>
      <c r="L237" s="12" t="str">
        <f aca="false">IFERROR(IF(N(J237)=0,"",(K237-J237)/J237),"")</f>
        <v/>
      </c>
      <c r="M237" s="9" t="s">
        <v>427</v>
      </c>
      <c r="N237" s="9" t="s">
        <v>100</v>
      </c>
      <c r="O237" s="9" t="s">
        <v>59</v>
      </c>
      <c r="P237" s="9" t="s">
        <v>13</v>
      </c>
    </row>
    <row r="238" customFormat="false" ht="15" hidden="false" customHeight="false" outlineLevel="0" collapsed="false">
      <c r="A238" s="9" t="s">
        <v>604</v>
      </c>
      <c r="B238" s="9" t="s">
        <v>605</v>
      </c>
      <c r="C238" s="9" t="n">
        <v>68</v>
      </c>
      <c r="D238" s="9" t="s">
        <v>54</v>
      </c>
      <c r="E238" s="9" t="s">
        <v>368</v>
      </c>
      <c r="F238" s="9"/>
      <c r="G238" s="9"/>
      <c r="H238" s="9"/>
      <c r="I238" s="10"/>
      <c r="J238" s="10"/>
      <c r="K238" s="11" t="n">
        <v>1600</v>
      </c>
      <c r="L238" s="12" t="str">
        <f aca="false">IFERROR(IF(N(J238)=0,"",(K238-J238)/J238),"")</f>
        <v/>
      </c>
      <c r="M238" s="9" t="s">
        <v>427</v>
      </c>
      <c r="N238" s="9" t="s">
        <v>294</v>
      </c>
      <c r="O238" s="9" t="s">
        <v>59</v>
      </c>
      <c r="P238" s="9" t="s">
        <v>13</v>
      </c>
    </row>
    <row r="239" customFormat="false" ht="15" hidden="false" customHeight="false" outlineLevel="0" collapsed="false">
      <c r="A239" s="9" t="s">
        <v>606</v>
      </c>
      <c r="B239" s="9" t="s">
        <v>607</v>
      </c>
      <c r="C239" s="9" t="n">
        <v>68</v>
      </c>
      <c r="D239" s="9" t="s">
        <v>54</v>
      </c>
      <c r="E239" s="9" t="s">
        <v>368</v>
      </c>
      <c r="F239" s="9"/>
      <c r="G239" s="9"/>
      <c r="H239" s="9"/>
      <c r="I239" s="10"/>
      <c r="J239" s="10"/>
      <c r="K239" s="11" t="n">
        <v>1071</v>
      </c>
      <c r="L239" s="12" t="str">
        <f aca="false">IFERROR(IF(N(J239)=0,"",(K239-J239)/J239),"")</f>
        <v/>
      </c>
      <c r="M239" s="9" t="s">
        <v>427</v>
      </c>
      <c r="N239" s="9" t="s">
        <v>608</v>
      </c>
      <c r="O239" s="9" t="s">
        <v>59</v>
      </c>
      <c r="P239" s="9" t="s">
        <v>13</v>
      </c>
    </row>
    <row r="240" customFormat="false" ht="15" hidden="false" customHeight="false" outlineLevel="0" collapsed="false">
      <c r="A240" s="9" t="s">
        <v>609</v>
      </c>
      <c r="B240" s="9" t="s">
        <v>610</v>
      </c>
      <c r="C240" s="9" t="n">
        <v>68</v>
      </c>
      <c r="D240" s="9" t="s">
        <v>54</v>
      </c>
      <c r="E240" s="9" t="s">
        <v>368</v>
      </c>
      <c r="F240" s="9"/>
      <c r="G240" s="9"/>
      <c r="H240" s="9"/>
      <c r="I240" s="10"/>
      <c r="J240" s="10"/>
      <c r="K240" s="11" t="n">
        <v>1590</v>
      </c>
      <c r="L240" s="12" t="str">
        <f aca="false">IFERROR(IF(N(J240)=0,"",(K240-J240)/J240),"")</f>
        <v/>
      </c>
      <c r="M240" s="9" t="s">
        <v>427</v>
      </c>
      <c r="N240" s="9" t="s">
        <v>608</v>
      </c>
      <c r="O240" s="9" t="s">
        <v>59</v>
      </c>
      <c r="P240" s="9" t="s">
        <v>13</v>
      </c>
    </row>
    <row r="241" customFormat="false" ht="15" hidden="false" customHeight="false" outlineLevel="0" collapsed="false">
      <c r="A241" s="9" t="s">
        <v>611</v>
      </c>
      <c r="B241" s="9" t="s">
        <v>612</v>
      </c>
      <c r="C241" s="9" t="n">
        <v>68</v>
      </c>
      <c r="D241" s="9" t="s">
        <v>54</v>
      </c>
      <c r="E241" s="9" t="s">
        <v>368</v>
      </c>
      <c r="F241" s="9"/>
      <c r="G241" s="9"/>
      <c r="H241" s="9"/>
      <c r="I241" s="10"/>
      <c r="J241" s="10"/>
      <c r="K241" s="11" t="n">
        <v>1224</v>
      </c>
      <c r="L241" s="12" t="str">
        <f aca="false">IFERROR(IF(N(J241)=0,"",(K241-J241)/J241),"")</f>
        <v/>
      </c>
      <c r="M241" s="9" t="s">
        <v>427</v>
      </c>
      <c r="N241" s="9" t="s">
        <v>608</v>
      </c>
      <c r="O241" s="9" t="s">
        <v>59</v>
      </c>
      <c r="P241" s="9" t="s">
        <v>13</v>
      </c>
    </row>
    <row r="242" customFormat="false" ht="15" hidden="false" customHeight="false" outlineLevel="0" collapsed="false">
      <c r="A242" s="9" t="s">
        <v>613</v>
      </c>
      <c r="B242" s="9" t="s">
        <v>614</v>
      </c>
      <c r="C242" s="9" t="n">
        <v>68</v>
      </c>
      <c r="D242" s="9" t="s">
        <v>54</v>
      </c>
      <c r="E242" s="9" t="s">
        <v>368</v>
      </c>
      <c r="F242" s="9"/>
      <c r="G242" s="9"/>
      <c r="H242" s="9"/>
      <c r="I242" s="10"/>
      <c r="J242" s="10"/>
      <c r="K242" s="11" t="n">
        <v>3000</v>
      </c>
      <c r="L242" s="12" t="str">
        <f aca="false">IFERROR(IF(N(J242)=0,"",(K242-J242)/J242),"")</f>
        <v/>
      </c>
      <c r="M242" s="9" t="s">
        <v>427</v>
      </c>
      <c r="N242" s="9" t="s">
        <v>181</v>
      </c>
      <c r="O242" s="9" t="s">
        <v>59</v>
      </c>
      <c r="P242" s="9" t="s">
        <v>13</v>
      </c>
    </row>
    <row r="243" customFormat="false" ht="15" hidden="false" customHeight="false" outlineLevel="0" collapsed="false">
      <c r="A243" s="9" t="s">
        <v>615</v>
      </c>
      <c r="B243" s="9" t="s">
        <v>616</v>
      </c>
      <c r="C243" s="9" t="n">
        <v>68</v>
      </c>
      <c r="D243" s="9" t="s">
        <v>54</v>
      </c>
      <c r="E243" s="9" t="s">
        <v>368</v>
      </c>
      <c r="F243" s="9"/>
      <c r="G243" s="9"/>
      <c r="H243" s="9"/>
      <c r="I243" s="10"/>
      <c r="J243" s="10"/>
      <c r="K243" s="11" t="n">
        <v>3550</v>
      </c>
      <c r="L243" s="12" t="str">
        <f aca="false">IFERROR(IF(N(J243)=0,"",(K243-J243)/J243),"")</f>
        <v/>
      </c>
      <c r="M243" s="9" t="s">
        <v>427</v>
      </c>
      <c r="N243" s="9" t="s">
        <v>100</v>
      </c>
      <c r="O243" s="9" t="s">
        <v>59</v>
      </c>
      <c r="P243" s="9" t="s">
        <v>13</v>
      </c>
    </row>
    <row r="244" customFormat="false" ht="15" hidden="false" customHeight="false" outlineLevel="0" collapsed="false">
      <c r="A244" s="9" t="s">
        <v>617</v>
      </c>
      <c r="B244" s="9" t="s">
        <v>618</v>
      </c>
      <c r="C244" s="9" t="n">
        <v>68</v>
      </c>
      <c r="D244" s="9" t="s">
        <v>54</v>
      </c>
      <c r="E244" s="9" t="s">
        <v>368</v>
      </c>
      <c r="F244" s="9"/>
      <c r="G244" s="9"/>
      <c r="H244" s="9"/>
      <c r="I244" s="10"/>
      <c r="J244" s="10"/>
      <c r="K244" s="11" t="n">
        <v>5267.6</v>
      </c>
      <c r="L244" s="12" t="str">
        <f aca="false">IFERROR(IF(N(J244)=0,"",(K244-J244)/J244),"")</f>
        <v/>
      </c>
      <c r="M244" s="9" t="s">
        <v>427</v>
      </c>
      <c r="N244" s="9" t="s">
        <v>143</v>
      </c>
      <c r="O244" s="9" t="s">
        <v>59</v>
      </c>
      <c r="P244" s="9" t="s">
        <v>13</v>
      </c>
    </row>
    <row r="245" customFormat="false" ht="15" hidden="false" customHeight="false" outlineLevel="0" collapsed="false">
      <c r="A245" s="9" t="s">
        <v>619</v>
      </c>
      <c r="B245" s="9" t="s">
        <v>620</v>
      </c>
      <c r="C245" s="9" t="n">
        <v>68</v>
      </c>
      <c r="D245" s="9" t="s">
        <v>54</v>
      </c>
      <c r="E245" s="9" t="s">
        <v>368</v>
      </c>
      <c r="F245" s="9"/>
      <c r="G245" s="9"/>
      <c r="H245" s="9"/>
      <c r="I245" s="10"/>
      <c r="J245" s="10"/>
      <c r="K245" s="11" t="n">
        <v>1185.21</v>
      </c>
      <c r="L245" s="12" t="str">
        <f aca="false">IFERROR(IF(N(J245)=0,"",(K245-J245)/J245),"")</f>
        <v/>
      </c>
      <c r="M245" s="9" t="s">
        <v>427</v>
      </c>
      <c r="N245" s="9" t="s">
        <v>143</v>
      </c>
      <c r="O245" s="9" t="s">
        <v>59</v>
      </c>
      <c r="P245" s="9" t="s">
        <v>13</v>
      </c>
    </row>
    <row r="246" customFormat="false" ht="15" hidden="false" customHeight="false" outlineLevel="0" collapsed="false">
      <c r="A246" s="9" t="s">
        <v>621</v>
      </c>
      <c r="B246" s="9" t="s">
        <v>622</v>
      </c>
      <c r="C246" s="9" t="n">
        <v>68</v>
      </c>
      <c r="D246" s="9" t="s">
        <v>54</v>
      </c>
      <c r="E246" s="9" t="s">
        <v>368</v>
      </c>
      <c r="F246" s="9"/>
      <c r="G246" s="9"/>
      <c r="H246" s="9"/>
      <c r="I246" s="10"/>
      <c r="J246" s="10"/>
      <c r="K246" s="11" t="n">
        <v>540</v>
      </c>
      <c r="L246" s="12" t="str">
        <f aca="false">IFERROR(IF(N(J246)=0,"",(K246-J246)/J246),"")</f>
        <v/>
      </c>
      <c r="M246" s="9" t="s">
        <v>427</v>
      </c>
      <c r="N246" s="9" t="s">
        <v>92</v>
      </c>
      <c r="O246" s="9" t="s">
        <v>59</v>
      </c>
      <c r="P246" s="9" t="s">
        <v>13</v>
      </c>
    </row>
    <row r="247" customFormat="false" ht="15" hidden="false" customHeight="false" outlineLevel="0" collapsed="false">
      <c r="A247" s="9" t="s">
        <v>623</v>
      </c>
      <c r="B247" s="9" t="s">
        <v>624</v>
      </c>
      <c r="C247" s="9" t="n">
        <v>68</v>
      </c>
      <c r="D247" s="9" t="s">
        <v>54</v>
      </c>
      <c r="E247" s="9" t="s">
        <v>368</v>
      </c>
      <c r="F247" s="9"/>
      <c r="G247" s="9"/>
      <c r="H247" s="9"/>
      <c r="I247" s="10"/>
      <c r="J247" s="10"/>
      <c r="K247" s="11" t="n">
        <v>1960</v>
      </c>
      <c r="L247" s="12" t="str">
        <f aca="false">IFERROR(IF(N(J247)=0,"",(K247-J247)/J247),"")</f>
        <v/>
      </c>
      <c r="M247" s="9" t="s">
        <v>427</v>
      </c>
      <c r="N247" s="9" t="s">
        <v>235</v>
      </c>
      <c r="O247" s="9" t="s">
        <v>59</v>
      </c>
      <c r="P247" s="9" t="s">
        <v>13</v>
      </c>
    </row>
    <row r="248" customFormat="false" ht="15" hidden="false" customHeight="false" outlineLevel="0" collapsed="false">
      <c r="A248" s="9" t="s">
        <v>625</v>
      </c>
      <c r="B248" s="9" t="s">
        <v>626</v>
      </c>
      <c r="C248" s="9" t="n">
        <v>68</v>
      </c>
      <c r="D248" s="9" t="s">
        <v>54</v>
      </c>
      <c r="E248" s="9" t="s">
        <v>368</v>
      </c>
      <c r="F248" s="9"/>
      <c r="G248" s="9"/>
      <c r="H248" s="9"/>
      <c r="I248" s="10"/>
      <c r="J248" s="10"/>
      <c r="K248" s="11" t="n">
        <v>1390</v>
      </c>
      <c r="L248" s="12" t="str">
        <f aca="false">IFERROR(IF(N(J248)=0,"",(K248-J248)/J248),"")</f>
        <v/>
      </c>
      <c r="M248" s="9" t="s">
        <v>427</v>
      </c>
      <c r="N248" s="9" t="s">
        <v>245</v>
      </c>
      <c r="O248" s="9" t="s">
        <v>59</v>
      </c>
      <c r="P248" s="9" t="s">
        <v>13</v>
      </c>
    </row>
    <row r="249" customFormat="false" ht="15" hidden="false" customHeight="false" outlineLevel="0" collapsed="false">
      <c r="A249" s="9" t="s">
        <v>627</v>
      </c>
      <c r="B249" s="9" t="s">
        <v>628</v>
      </c>
      <c r="C249" s="9" t="n">
        <v>68</v>
      </c>
      <c r="D249" s="9" t="s">
        <v>54</v>
      </c>
      <c r="E249" s="9" t="s">
        <v>368</v>
      </c>
      <c r="F249" s="9"/>
      <c r="G249" s="9"/>
      <c r="H249" s="9"/>
      <c r="I249" s="10"/>
      <c r="J249" s="10"/>
      <c r="K249" s="11" t="n">
        <v>805</v>
      </c>
      <c r="L249" s="12" t="str">
        <f aca="false">IFERROR(IF(N(J249)=0,"",(K249-J249)/J249),"")</f>
        <v/>
      </c>
      <c r="M249" s="9" t="s">
        <v>427</v>
      </c>
      <c r="N249" s="9" t="s">
        <v>245</v>
      </c>
      <c r="O249" s="9" t="s">
        <v>87</v>
      </c>
      <c r="P249" s="9" t="s">
        <v>13</v>
      </c>
    </row>
    <row r="250" customFormat="false" ht="15" hidden="false" customHeight="false" outlineLevel="0" collapsed="false">
      <c r="A250" s="9" t="s">
        <v>629</v>
      </c>
      <c r="B250" s="9" t="s">
        <v>630</v>
      </c>
      <c r="C250" s="9" t="n">
        <v>68</v>
      </c>
      <c r="D250" s="9" t="s">
        <v>54</v>
      </c>
      <c r="E250" s="9" t="s">
        <v>368</v>
      </c>
      <c r="F250" s="9"/>
      <c r="G250" s="9"/>
      <c r="H250" s="9"/>
      <c r="I250" s="10"/>
      <c r="J250" s="10"/>
      <c r="K250" s="11" t="n">
        <v>1584</v>
      </c>
      <c r="L250" s="12" t="str">
        <f aca="false">IFERROR(IF(N(J250)=0,"",(K250-J250)/J250),"")</f>
        <v/>
      </c>
      <c r="M250" s="9" t="s">
        <v>427</v>
      </c>
      <c r="N250" s="9" t="s">
        <v>631</v>
      </c>
      <c r="O250" s="9" t="s">
        <v>59</v>
      </c>
      <c r="P250" s="9" t="s">
        <v>13</v>
      </c>
    </row>
    <row r="251" customFormat="false" ht="15" hidden="false" customHeight="false" outlineLevel="0" collapsed="false">
      <c r="A251" s="9" t="s">
        <v>632</v>
      </c>
      <c r="B251" s="9" t="s">
        <v>633</v>
      </c>
      <c r="C251" s="9" t="n">
        <v>68</v>
      </c>
      <c r="D251" s="9" t="s">
        <v>54</v>
      </c>
      <c r="E251" s="9" t="s">
        <v>368</v>
      </c>
      <c r="F251" s="9"/>
      <c r="G251" s="9"/>
      <c r="H251" s="9"/>
      <c r="I251" s="10"/>
      <c r="J251" s="10"/>
      <c r="K251" s="11" t="n">
        <v>1013</v>
      </c>
      <c r="L251" s="12" t="str">
        <f aca="false">IFERROR(IF(N(J251)=0,"",(K251-J251)/J251),"")</f>
        <v/>
      </c>
      <c r="M251" s="9" t="s">
        <v>427</v>
      </c>
      <c r="N251" s="9" t="s">
        <v>143</v>
      </c>
      <c r="O251" s="9" t="s">
        <v>59</v>
      </c>
      <c r="P251" s="9" t="s">
        <v>13</v>
      </c>
    </row>
    <row r="252" customFormat="false" ht="15" hidden="false" customHeight="false" outlineLevel="0" collapsed="false">
      <c r="A252" s="9" t="s">
        <v>634</v>
      </c>
      <c r="B252" s="9" t="s">
        <v>635</v>
      </c>
      <c r="C252" s="9" t="n">
        <v>68</v>
      </c>
      <c r="D252" s="9" t="s">
        <v>54</v>
      </c>
      <c r="E252" s="9" t="s">
        <v>368</v>
      </c>
      <c r="F252" s="9"/>
      <c r="G252" s="9"/>
      <c r="H252" s="9"/>
      <c r="I252" s="10"/>
      <c r="J252" s="10"/>
      <c r="K252" s="11" t="n">
        <v>760</v>
      </c>
      <c r="L252" s="12" t="str">
        <f aca="false">IFERROR(IF(N(J252)=0,"",(K252-J252)/J252),"")</f>
        <v/>
      </c>
      <c r="M252" s="9" t="s">
        <v>427</v>
      </c>
      <c r="N252" s="9" t="s">
        <v>92</v>
      </c>
      <c r="O252" s="9" t="s">
        <v>59</v>
      </c>
      <c r="P252" s="9" t="s">
        <v>13</v>
      </c>
    </row>
    <row r="253" customFormat="false" ht="15" hidden="false" customHeight="false" outlineLevel="0" collapsed="false">
      <c r="A253" s="9" t="s">
        <v>636</v>
      </c>
      <c r="B253" s="9" t="s">
        <v>637</v>
      </c>
      <c r="C253" s="9" t="n">
        <v>68</v>
      </c>
      <c r="D253" s="9" t="s">
        <v>54</v>
      </c>
      <c r="E253" s="9" t="s">
        <v>368</v>
      </c>
      <c r="F253" s="9"/>
      <c r="G253" s="9"/>
      <c r="H253" s="9"/>
      <c r="I253" s="10"/>
      <c r="J253" s="10"/>
      <c r="K253" s="11" t="n">
        <v>600</v>
      </c>
      <c r="L253" s="12" t="str">
        <f aca="false">IFERROR(IF(N(J253)=0,"",(K253-J253)/J253),"")</f>
        <v/>
      </c>
      <c r="M253" s="9" t="s">
        <v>427</v>
      </c>
      <c r="N253" s="9" t="s">
        <v>232</v>
      </c>
      <c r="O253" s="9" t="s">
        <v>59</v>
      </c>
      <c r="P253" s="9" t="s">
        <v>13</v>
      </c>
    </row>
    <row r="254" customFormat="false" ht="15" hidden="false" customHeight="false" outlineLevel="0" collapsed="false">
      <c r="A254" s="9" t="s">
        <v>638</v>
      </c>
      <c r="B254" s="9" t="s">
        <v>639</v>
      </c>
      <c r="C254" s="9" t="n">
        <v>68</v>
      </c>
      <c r="D254" s="9" t="s">
        <v>54</v>
      </c>
      <c r="E254" s="9" t="s">
        <v>368</v>
      </c>
      <c r="F254" s="9"/>
      <c r="G254" s="9"/>
      <c r="H254" s="9"/>
      <c r="I254" s="10"/>
      <c r="J254" s="10"/>
      <c r="K254" s="11" t="n">
        <v>1830</v>
      </c>
      <c r="L254" s="12" t="str">
        <f aca="false">IFERROR(IF(N(J254)=0,"",(K254-J254)/J254),"")</f>
        <v/>
      </c>
      <c r="M254" s="9" t="s">
        <v>427</v>
      </c>
      <c r="N254" s="9" t="s">
        <v>235</v>
      </c>
      <c r="O254" s="9" t="s">
        <v>59</v>
      </c>
      <c r="P254" s="9" t="s">
        <v>13</v>
      </c>
    </row>
    <row r="255" customFormat="false" ht="15" hidden="false" customHeight="false" outlineLevel="0" collapsed="false">
      <c r="A255" s="9" t="s">
        <v>640</v>
      </c>
      <c r="B255" s="9" t="s">
        <v>641</v>
      </c>
      <c r="C255" s="9" t="n">
        <v>68</v>
      </c>
      <c r="D255" s="9" t="s">
        <v>54</v>
      </c>
      <c r="E255" s="9" t="s">
        <v>368</v>
      </c>
      <c r="F255" s="9"/>
      <c r="G255" s="9"/>
      <c r="H255" s="9"/>
      <c r="I255" s="10"/>
      <c r="J255" s="10"/>
      <c r="K255" s="11" t="n">
        <v>470</v>
      </c>
      <c r="L255" s="12" t="str">
        <f aca="false">IFERROR(IF(N(J255)=0,"",(K255-J255)/J255),"")</f>
        <v/>
      </c>
      <c r="M255" s="9" t="s">
        <v>427</v>
      </c>
      <c r="N255" s="9" t="s">
        <v>86</v>
      </c>
      <c r="O255" s="9" t="s">
        <v>59</v>
      </c>
      <c r="P255" s="9" t="s">
        <v>13</v>
      </c>
    </row>
    <row r="256" customFormat="false" ht="15" hidden="false" customHeight="false" outlineLevel="0" collapsed="false">
      <c r="A256" s="9" t="s">
        <v>642</v>
      </c>
      <c r="B256" s="9" t="s">
        <v>643</v>
      </c>
      <c r="C256" s="9" t="n">
        <v>68</v>
      </c>
      <c r="D256" s="9" t="s">
        <v>54</v>
      </c>
      <c r="E256" s="9" t="s">
        <v>368</v>
      </c>
      <c r="F256" s="9"/>
      <c r="G256" s="9"/>
      <c r="H256" s="9"/>
      <c r="I256" s="10"/>
      <c r="J256" s="10"/>
      <c r="K256" s="11" t="n">
        <v>324.8</v>
      </c>
      <c r="L256" s="12" t="str">
        <f aca="false">IFERROR(IF(N(J256)=0,"",(K256-J256)/J256),"")</f>
        <v/>
      </c>
      <c r="M256" s="9" t="s">
        <v>427</v>
      </c>
      <c r="N256" s="9" t="s">
        <v>143</v>
      </c>
      <c r="O256" s="9" t="s">
        <v>59</v>
      </c>
      <c r="P256" s="9" t="s">
        <v>13</v>
      </c>
    </row>
    <row r="257" customFormat="false" ht="15" hidden="false" customHeight="false" outlineLevel="0" collapsed="false">
      <c r="A257" s="9" t="s">
        <v>644</v>
      </c>
      <c r="B257" s="9" t="s">
        <v>645</v>
      </c>
      <c r="C257" s="9" t="n">
        <v>68</v>
      </c>
      <c r="D257" s="9" t="s">
        <v>54</v>
      </c>
      <c r="E257" s="9" t="s">
        <v>368</v>
      </c>
      <c r="F257" s="9"/>
      <c r="G257" s="9"/>
      <c r="H257" s="9"/>
      <c r="I257" s="10"/>
      <c r="J257" s="10"/>
      <c r="K257" s="11" t="n">
        <v>880</v>
      </c>
      <c r="L257" s="12" t="str">
        <f aca="false">IFERROR(IF(N(J257)=0,"",(K257-J257)/J257),"")</f>
        <v/>
      </c>
      <c r="M257" s="9" t="s">
        <v>427</v>
      </c>
      <c r="N257" s="9" t="s">
        <v>92</v>
      </c>
      <c r="O257" s="9" t="s">
        <v>59</v>
      </c>
      <c r="P257" s="9" t="s">
        <v>13</v>
      </c>
    </row>
    <row r="258" customFormat="false" ht="15" hidden="false" customHeight="false" outlineLevel="0" collapsed="false">
      <c r="A258" s="9" t="s">
        <v>646</v>
      </c>
      <c r="B258" s="9" t="s">
        <v>647</v>
      </c>
      <c r="C258" s="9" t="n">
        <v>68</v>
      </c>
      <c r="D258" s="9" t="s">
        <v>54</v>
      </c>
      <c r="E258" s="9" t="s">
        <v>368</v>
      </c>
      <c r="F258" s="9"/>
      <c r="G258" s="9"/>
      <c r="H258" s="9"/>
      <c r="I258" s="10"/>
      <c r="J258" s="10"/>
      <c r="K258" s="11" t="n">
        <v>400</v>
      </c>
      <c r="L258" s="12" t="str">
        <f aca="false">IFERROR(IF(N(J258)=0,"",(K258-J258)/J258),"")</f>
        <v/>
      </c>
      <c r="M258" s="9" t="s">
        <v>427</v>
      </c>
      <c r="N258" s="9" t="s">
        <v>86</v>
      </c>
      <c r="O258" s="9" t="s">
        <v>59</v>
      </c>
      <c r="P258" s="9" t="s">
        <v>13</v>
      </c>
    </row>
    <row r="259" customFormat="false" ht="15" hidden="false" customHeight="false" outlineLevel="0" collapsed="false">
      <c r="A259" s="9" t="s">
        <v>648</v>
      </c>
      <c r="B259" s="9" t="s">
        <v>649</v>
      </c>
      <c r="C259" s="9" t="n">
        <v>68</v>
      </c>
      <c r="D259" s="9" t="s">
        <v>54</v>
      </c>
      <c r="E259" s="9" t="s">
        <v>368</v>
      </c>
      <c r="F259" s="9"/>
      <c r="G259" s="9"/>
      <c r="H259" s="9"/>
      <c r="I259" s="10"/>
      <c r="J259" s="10"/>
      <c r="K259" s="11" t="n">
        <v>788.93</v>
      </c>
      <c r="L259" s="12" t="str">
        <f aca="false">IFERROR(IF(N(J259)=0,"",(K259-J259)/J259),"")</f>
        <v/>
      </c>
      <c r="M259" s="9" t="s">
        <v>427</v>
      </c>
      <c r="N259" s="9" t="s">
        <v>127</v>
      </c>
      <c r="O259" s="9" t="s">
        <v>59</v>
      </c>
      <c r="P259" s="9" t="s">
        <v>13</v>
      </c>
    </row>
    <row r="260" customFormat="false" ht="15" hidden="false" customHeight="false" outlineLevel="0" collapsed="false">
      <c r="A260" s="9" t="s">
        <v>650</v>
      </c>
      <c r="B260" s="9" t="s">
        <v>651</v>
      </c>
      <c r="C260" s="9" t="n">
        <v>68</v>
      </c>
      <c r="D260" s="9" t="s">
        <v>54</v>
      </c>
      <c r="E260" s="9" t="s">
        <v>368</v>
      </c>
      <c r="F260" s="9"/>
      <c r="G260" s="9"/>
      <c r="H260" s="9"/>
      <c r="I260" s="10"/>
      <c r="J260" s="10"/>
      <c r="K260" s="11" t="n">
        <v>700</v>
      </c>
      <c r="L260" s="12" t="str">
        <f aca="false">IFERROR(IF(N(J260)=0,"",(K260-J260)/J260),"")</f>
        <v/>
      </c>
      <c r="M260" s="9" t="s">
        <v>427</v>
      </c>
      <c r="N260" s="9" t="s">
        <v>652</v>
      </c>
      <c r="O260" s="9" t="s">
        <v>59</v>
      </c>
      <c r="P260" s="9" t="s">
        <v>13</v>
      </c>
    </row>
    <row r="261" customFormat="false" ht="15" hidden="false" customHeight="false" outlineLevel="0" collapsed="false">
      <c r="A261" s="9" t="s">
        <v>653</v>
      </c>
      <c r="B261" s="9" t="s">
        <v>654</v>
      </c>
      <c r="C261" s="9" t="n">
        <v>68</v>
      </c>
      <c r="D261" s="9" t="s">
        <v>54</v>
      </c>
      <c r="E261" s="9" t="s">
        <v>368</v>
      </c>
      <c r="F261" s="9"/>
      <c r="G261" s="9"/>
      <c r="H261" s="9"/>
      <c r="I261" s="10"/>
      <c r="J261" s="10"/>
      <c r="K261" s="11" t="n">
        <v>1400</v>
      </c>
      <c r="L261" s="12" t="str">
        <f aca="false">IFERROR(IF(N(J261)=0,"",(K261-J261)/J261),"")</f>
        <v/>
      </c>
      <c r="M261" s="9" t="s">
        <v>427</v>
      </c>
      <c r="N261" s="9" t="s">
        <v>655</v>
      </c>
      <c r="O261" s="9" t="s">
        <v>59</v>
      </c>
      <c r="P261" s="9" t="s">
        <v>13</v>
      </c>
    </row>
    <row r="262" customFormat="false" ht="15" hidden="false" customHeight="false" outlineLevel="0" collapsed="false">
      <c r="A262" s="9" t="s">
        <v>656</v>
      </c>
      <c r="B262" s="9" t="s">
        <v>657</v>
      </c>
      <c r="C262" s="9" t="n">
        <v>68</v>
      </c>
      <c r="D262" s="9" t="s">
        <v>54</v>
      </c>
      <c r="E262" s="9" t="s">
        <v>368</v>
      </c>
      <c r="F262" s="9"/>
      <c r="G262" s="9"/>
      <c r="H262" s="9"/>
      <c r="I262" s="10"/>
      <c r="J262" s="10"/>
      <c r="K262" s="11" t="n">
        <v>1350</v>
      </c>
      <c r="L262" s="12" t="str">
        <f aca="false">IFERROR(IF(N(J262)=0,"",(K262-J262)/J262),"")</f>
        <v/>
      </c>
      <c r="M262" s="9" t="s">
        <v>427</v>
      </c>
      <c r="N262" s="9" t="s">
        <v>608</v>
      </c>
      <c r="O262" s="9" t="s">
        <v>59</v>
      </c>
      <c r="P262" s="9" t="s">
        <v>13</v>
      </c>
    </row>
    <row r="263" customFormat="false" ht="15" hidden="false" customHeight="false" outlineLevel="0" collapsed="false">
      <c r="A263" s="9" t="s">
        <v>658</v>
      </c>
      <c r="B263" s="9" t="s">
        <v>659</v>
      </c>
      <c r="C263" s="9" t="n">
        <v>68</v>
      </c>
      <c r="D263" s="9" t="s">
        <v>54</v>
      </c>
      <c r="E263" s="9" t="s">
        <v>368</v>
      </c>
      <c r="F263" s="9"/>
      <c r="G263" s="9"/>
      <c r="H263" s="9"/>
      <c r="I263" s="10"/>
      <c r="J263" s="10"/>
      <c r="K263" s="11" t="n">
        <v>1650</v>
      </c>
      <c r="L263" s="12" t="str">
        <f aca="false">IFERROR(IF(N(J263)=0,"",(K263-J263)/J263),"")</f>
        <v/>
      </c>
      <c r="M263" s="9" t="s">
        <v>427</v>
      </c>
      <c r="N263" s="9" t="s">
        <v>608</v>
      </c>
      <c r="O263" s="9" t="s">
        <v>59</v>
      </c>
      <c r="P263" s="9" t="s">
        <v>13</v>
      </c>
    </row>
    <row r="264" customFormat="false" ht="15" hidden="false" customHeight="false" outlineLevel="0" collapsed="false">
      <c r="A264" s="9" t="s">
        <v>660</v>
      </c>
      <c r="B264" s="9" t="s">
        <v>661</v>
      </c>
      <c r="C264" s="9" t="n">
        <v>68</v>
      </c>
      <c r="D264" s="9" t="s">
        <v>54</v>
      </c>
      <c r="E264" s="9" t="s">
        <v>368</v>
      </c>
      <c r="F264" s="9"/>
      <c r="G264" s="9"/>
      <c r="H264" s="9"/>
      <c r="I264" s="10"/>
      <c r="J264" s="10"/>
      <c r="K264" s="11" t="n">
        <v>780</v>
      </c>
      <c r="L264" s="12" t="str">
        <f aca="false">IFERROR(IF(N(J264)=0,"",(K264-J264)/J264),"")</f>
        <v/>
      </c>
      <c r="M264" s="9" t="s">
        <v>427</v>
      </c>
      <c r="N264" s="9" t="s">
        <v>608</v>
      </c>
      <c r="O264" s="9" t="s">
        <v>59</v>
      </c>
      <c r="P264" s="9" t="s">
        <v>13</v>
      </c>
    </row>
    <row r="265" customFormat="false" ht="15" hidden="false" customHeight="false" outlineLevel="0" collapsed="false">
      <c r="A265" s="9" t="s">
        <v>662</v>
      </c>
      <c r="B265" s="9" t="s">
        <v>663</v>
      </c>
      <c r="C265" s="9" t="n">
        <v>68</v>
      </c>
      <c r="D265" s="9" t="s">
        <v>54</v>
      </c>
      <c r="E265" s="9" t="s">
        <v>368</v>
      </c>
      <c r="F265" s="9"/>
      <c r="G265" s="9"/>
      <c r="H265" s="9"/>
      <c r="I265" s="10"/>
      <c r="J265" s="10"/>
      <c r="K265" s="11" t="n">
        <v>2100</v>
      </c>
      <c r="L265" s="12" t="str">
        <f aca="false">IFERROR(IF(N(J265)=0,"",(K265-J265)/J265),"")</f>
        <v/>
      </c>
      <c r="M265" s="9" t="s">
        <v>427</v>
      </c>
      <c r="N265" s="9" t="s">
        <v>608</v>
      </c>
      <c r="O265" s="9" t="s">
        <v>59</v>
      </c>
      <c r="P265" s="9" t="s">
        <v>13</v>
      </c>
    </row>
    <row r="266" customFormat="false" ht="15" hidden="false" customHeight="false" outlineLevel="0" collapsed="false">
      <c r="A266" s="9" t="s">
        <v>664</v>
      </c>
      <c r="B266" s="9" t="s">
        <v>665</v>
      </c>
      <c r="C266" s="9" t="n">
        <v>68</v>
      </c>
      <c r="D266" s="9" t="s">
        <v>54</v>
      </c>
      <c r="E266" s="9" t="s">
        <v>368</v>
      </c>
      <c r="F266" s="9"/>
      <c r="G266" s="9"/>
      <c r="H266" s="9"/>
      <c r="I266" s="10"/>
      <c r="J266" s="10"/>
      <c r="K266" s="11" t="n">
        <v>1110</v>
      </c>
      <c r="L266" s="12" t="str">
        <f aca="false">IFERROR(IF(N(J266)=0,"",(K266-J266)/J266),"")</f>
        <v/>
      </c>
      <c r="M266" s="9" t="s">
        <v>427</v>
      </c>
      <c r="N266" s="9" t="s">
        <v>666</v>
      </c>
      <c r="O266" s="9" t="s">
        <v>59</v>
      </c>
      <c r="P266" s="9" t="s">
        <v>13</v>
      </c>
    </row>
    <row r="267" customFormat="false" ht="15" hidden="false" customHeight="false" outlineLevel="0" collapsed="false">
      <c r="A267" s="9" t="s">
        <v>667</v>
      </c>
      <c r="B267" s="9" t="s">
        <v>668</v>
      </c>
      <c r="C267" s="9" t="n">
        <v>68</v>
      </c>
      <c r="D267" s="9" t="s">
        <v>54</v>
      </c>
      <c r="E267" s="9" t="s">
        <v>368</v>
      </c>
      <c r="F267" s="9"/>
      <c r="G267" s="9"/>
      <c r="H267" s="9"/>
      <c r="I267" s="10"/>
      <c r="J267" s="10"/>
      <c r="K267" s="11" t="n">
        <v>89.58</v>
      </c>
      <c r="L267" s="12" t="str">
        <f aca="false">IFERROR(IF(N(J267)=0,"",(K267-J267)/J267),"")</f>
        <v/>
      </c>
      <c r="M267" s="9" t="s">
        <v>427</v>
      </c>
      <c r="N267" s="9" t="s">
        <v>260</v>
      </c>
      <c r="O267" s="9" t="s">
        <v>59</v>
      </c>
      <c r="P267" s="9" t="s">
        <v>13</v>
      </c>
    </row>
    <row r="268" customFormat="false" ht="15" hidden="false" customHeight="false" outlineLevel="0" collapsed="false">
      <c r="A268" s="9" t="s">
        <v>669</v>
      </c>
      <c r="B268" s="9" t="s">
        <v>670</v>
      </c>
      <c r="C268" s="9" t="n">
        <v>68</v>
      </c>
      <c r="D268" s="9" t="s">
        <v>54</v>
      </c>
      <c r="E268" s="9" t="s">
        <v>368</v>
      </c>
      <c r="F268" s="9"/>
      <c r="G268" s="9"/>
      <c r="H268" s="9"/>
      <c r="I268" s="10"/>
      <c r="J268" s="10"/>
      <c r="K268" s="11" t="n">
        <v>89.58</v>
      </c>
      <c r="L268" s="12" t="str">
        <f aca="false">IFERROR(IF(N(J268)=0,"",(K268-J268)/J268),"")</f>
        <v/>
      </c>
      <c r="M268" s="9" t="s">
        <v>427</v>
      </c>
      <c r="N268" s="9" t="s">
        <v>260</v>
      </c>
      <c r="O268" s="9" t="s">
        <v>59</v>
      </c>
      <c r="P268" s="9" t="s">
        <v>13</v>
      </c>
    </row>
    <row r="269" customFormat="false" ht="15" hidden="false" customHeight="false" outlineLevel="0" collapsed="false">
      <c r="A269" s="9" t="s">
        <v>671</v>
      </c>
      <c r="B269" s="9" t="s">
        <v>672</v>
      </c>
      <c r="C269" s="9" t="n">
        <v>68</v>
      </c>
      <c r="D269" s="9" t="s">
        <v>54</v>
      </c>
      <c r="E269" s="9" t="s">
        <v>368</v>
      </c>
      <c r="F269" s="9"/>
      <c r="G269" s="9"/>
      <c r="H269" s="9"/>
      <c r="I269" s="10"/>
      <c r="J269" s="10"/>
      <c r="K269" s="11" t="n">
        <v>89.58</v>
      </c>
      <c r="L269" s="12" t="str">
        <f aca="false">IFERROR(IF(N(J269)=0,"",(K269-J269)/J269),"")</f>
        <v/>
      </c>
      <c r="M269" s="9" t="s">
        <v>427</v>
      </c>
      <c r="N269" s="9" t="s">
        <v>260</v>
      </c>
      <c r="O269" s="9" t="s">
        <v>59</v>
      </c>
      <c r="P269" s="9" t="s">
        <v>13</v>
      </c>
    </row>
    <row r="270" customFormat="false" ht="15" hidden="false" customHeight="false" outlineLevel="0" collapsed="false">
      <c r="A270" s="9" t="s">
        <v>673</v>
      </c>
      <c r="B270" s="9" t="s">
        <v>674</v>
      </c>
      <c r="C270" s="9" t="n">
        <v>68</v>
      </c>
      <c r="D270" s="9" t="s">
        <v>54</v>
      </c>
      <c r="E270" s="9" t="s">
        <v>368</v>
      </c>
      <c r="F270" s="9"/>
      <c r="G270" s="9"/>
      <c r="H270" s="9"/>
      <c r="I270" s="10"/>
      <c r="J270" s="10"/>
      <c r="K270" s="11" t="n">
        <v>89.58</v>
      </c>
      <c r="L270" s="12" t="str">
        <f aca="false">IFERROR(IF(N(J270)=0,"",(K270-J270)/J270),"")</f>
        <v/>
      </c>
      <c r="M270" s="9" t="s">
        <v>427</v>
      </c>
      <c r="N270" s="9" t="s">
        <v>260</v>
      </c>
      <c r="O270" s="9" t="s">
        <v>59</v>
      </c>
      <c r="P270" s="9" t="s">
        <v>13</v>
      </c>
    </row>
    <row r="271" customFormat="false" ht="15" hidden="false" customHeight="false" outlineLevel="0" collapsed="false">
      <c r="A271" s="9" t="s">
        <v>675</v>
      </c>
      <c r="B271" s="9" t="s">
        <v>676</v>
      </c>
      <c r="C271" s="9" t="n">
        <v>68</v>
      </c>
      <c r="D271" s="9" t="s">
        <v>54</v>
      </c>
      <c r="E271" s="9" t="s">
        <v>368</v>
      </c>
      <c r="F271" s="9"/>
      <c r="G271" s="9"/>
      <c r="H271" s="9"/>
      <c r="I271" s="10"/>
      <c r="J271" s="10"/>
      <c r="K271" s="11" t="n">
        <v>89.58</v>
      </c>
      <c r="L271" s="12" t="str">
        <f aca="false">IFERROR(IF(N(J271)=0,"",(K271-J271)/J271),"")</f>
        <v/>
      </c>
      <c r="M271" s="9" t="s">
        <v>427</v>
      </c>
      <c r="N271" s="9" t="s">
        <v>260</v>
      </c>
      <c r="O271" s="9" t="s">
        <v>59</v>
      </c>
      <c r="P271" s="9" t="s">
        <v>13</v>
      </c>
    </row>
    <row r="272" customFormat="false" ht="15" hidden="false" customHeight="false" outlineLevel="0" collapsed="false">
      <c r="A272" s="9" t="s">
        <v>677</v>
      </c>
      <c r="B272" s="9" t="s">
        <v>678</v>
      </c>
      <c r="C272" s="9" t="n">
        <v>68</v>
      </c>
      <c r="D272" s="9" t="s">
        <v>54</v>
      </c>
      <c r="E272" s="9" t="s">
        <v>368</v>
      </c>
      <c r="F272" s="9"/>
      <c r="G272" s="9"/>
      <c r="H272" s="9"/>
      <c r="I272" s="10"/>
      <c r="J272" s="10"/>
      <c r="K272" s="11" t="n">
        <v>760</v>
      </c>
      <c r="L272" s="12" t="str">
        <f aca="false">IFERROR(IF(N(J272)=0,"",(K272-J272)/J272),"")</f>
        <v/>
      </c>
      <c r="M272" s="9" t="s">
        <v>427</v>
      </c>
      <c r="N272" s="9" t="s">
        <v>86</v>
      </c>
      <c r="O272" s="9" t="s">
        <v>59</v>
      </c>
      <c r="P272" s="9" t="s">
        <v>13</v>
      </c>
    </row>
    <row r="273" customFormat="false" ht="15" hidden="false" customHeight="false" outlineLevel="0" collapsed="false">
      <c r="A273" s="9" t="s">
        <v>679</v>
      </c>
      <c r="B273" s="9" t="s">
        <v>680</v>
      </c>
      <c r="C273" s="9" t="n">
        <v>68</v>
      </c>
      <c r="D273" s="9" t="s">
        <v>54</v>
      </c>
      <c r="E273" s="9" t="s">
        <v>368</v>
      </c>
      <c r="F273" s="9"/>
      <c r="G273" s="9"/>
      <c r="H273" s="9"/>
      <c r="I273" s="10"/>
      <c r="J273" s="10"/>
      <c r="K273" s="11" t="n">
        <v>252</v>
      </c>
      <c r="L273" s="12" t="str">
        <f aca="false">IFERROR(IF(N(J273)=0,"",(K273-J273)/J273),"")</f>
        <v/>
      </c>
      <c r="M273" s="9" t="s">
        <v>427</v>
      </c>
      <c r="N273" s="9" t="s">
        <v>681</v>
      </c>
      <c r="O273" s="9" t="s">
        <v>59</v>
      </c>
      <c r="P273" s="9" t="s">
        <v>13</v>
      </c>
    </row>
    <row r="274" customFormat="false" ht="15" hidden="false" customHeight="false" outlineLevel="0" collapsed="false">
      <c r="A274" s="9" t="s">
        <v>682</v>
      </c>
      <c r="B274" s="9" t="s">
        <v>683</v>
      </c>
      <c r="C274" s="9" t="n">
        <v>68</v>
      </c>
      <c r="D274" s="9" t="s">
        <v>54</v>
      </c>
      <c r="E274" s="9" t="s">
        <v>368</v>
      </c>
      <c r="F274" s="9"/>
      <c r="G274" s="9"/>
      <c r="H274" s="9"/>
      <c r="I274" s="10"/>
      <c r="J274" s="10"/>
      <c r="K274" s="11" t="n">
        <v>89.58</v>
      </c>
      <c r="L274" s="12" t="str">
        <f aca="false">IFERROR(IF(N(J274)=0,"",(K274-J274)/J274),"")</f>
        <v/>
      </c>
      <c r="M274" s="9" t="s">
        <v>427</v>
      </c>
      <c r="N274" s="9" t="s">
        <v>260</v>
      </c>
      <c r="O274" s="9" t="s">
        <v>59</v>
      </c>
      <c r="P274" s="9" t="s">
        <v>13</v>
      </c>
    </row>
    <row r="275" customFormat="false" ht="15" hidden="false" customHeight="false" outlineLevel="0" collapsed="false">
      <c r="A275" s="9" t="s">
        <v>684</v>
      </c>
      <c r="B275" s="9" t="s">
        <v>685</v>
      </c>
      <c r="C275" s="9" t="n">
        <v>68</v>
      </c>
      <c r="D275" s="9" t="s">
        <v>54</v>
      </c>
      <c r="E275" s="9" t="s">
        <v>368</v>
      </c>
      <c r="F275" s="9"/>
      <c r="G275" s="9"/>
      <c r="H275" s="9"/>
      <c r="I275" s="10"/>
      <c r="J275" s="10"/>
      <c r="K275" s="11" t="n">
        <v>229.5</v>
      </c>
      <c r="L275" s="12" t="str">
        <f aca="false">IFERROR(IF(N(J275)=0,"",(K275-J275)/J275),"")</f>
        <v/>
      </c>
      <c r="M275" s="9" t="s">
        <v>427</v>
      </c>
      <c r="N275" s="9" t="s">
        <v>686</v>
      </c>
      <c r="O275" s="9" t="s">
        <v>59</v>
      </c>
      <c r="P275" s="9" t="s">
        <v>13</v>
      </c>
    </row>
    <row r="276" customFormat="false" ht="15" hidden="false" customHeight="false" outlineLevel="0" collapsed="false">
      <c r="A276" s="9" t="s">
        <v>687</v>
      </c>
      <c r="B276" s="9" t="s">
        <v>688</v>
      </c>
      <c r="C276" s="9" t="n">
        <v>68</v>
      </c>
      <c r="D276" s="9" t="s">
        <v>54</v>
      </c>
      <c r="E276" s="9" t="s">
        <v>368</v>
      </c>
      <c r="F276" s="9"/>
      <c r="G276" s="9"/>
      <c r="H276" s="9"/>
      <c r="I276" s="10"/>
      <c r="J276" s="10"/>
      <c r="K276" s="11" t="n">
        <v>229.5</v>
      </c>
      <c r="L276" s="12" t="str">
        <f aca="false">IFERROR(IF(N(J276)=0,"",(K276-J276)/J276),"")</f>
        <v/>
      </c>
      <c r="M276" s="9" t="s">
        <v>427</v>
      </c>
      <c r="N276" s="9" t="s">
        <v>686</v>
      </c>
      <c r="O276" s="9" t="s">
        <v>59</v>
      </c>
      <c r="P276" s="9" t="s">
        <v>13</v>
      </c>
    </row>
    <row r="277" customFormat="false" ht="15" hidden="false" customHeight="false" outlineLevel="0" collapsed="false">
      <c r="A277" s="9" t="s">
        <v>689</v>
      </c>
      <c r="B277" s="9" t="s">
        <v>690</v>
      </c>
      <c r="C277" s="9" t="n">
        <v>68</v>
      </c>
      <c r="D277" s="9" t="s">
        <v>54</v>
      </c>
      <c r="E277" s="9" t="s">
        <v>368</v>
      </c>
      <c r="F277" s="9"/>
      <c r="G277" s="9"/>
      <c r="H277" s="9"/>
      <c r="I277" s="10"/>
      <c r="J277" s="10"/>
      <c r="K277" s="11" t="n">
        <v>1924.1</v>
      </c>
      <c r="L277" s="12" t="str">
        <f aca="false">IFERROR(IF(N(J277)=0,"",(K277-J277)/J277),"")</f>
        <v/>
      </c>
      <c r="M277" s="9" t="s">
        <v>427</v>
      </c>
      <c r="N277" s="9" t="s">
        <v>143</v>
      </c>
      <c r="O277" s="9" t="s">
        <v>59</v>
      </c>
      <c r="P277" s="9" t="s">
        <v>13</v>
      </c>
    </row>
    <row r="278" customFormat="false" ht="15" hidden="false" customHeight="false" outlineLevel="0" collapsed="false">
      <c r="A278" s="9" t="s">
        <v>691</v>
      </c>
      <c r="B278" s="9" t="s">
        <v>692</v>
      </c>
      <c r="C278" s="9" t="n">
        <v>68</v>
      </c>
      <c r="D278" s="9" t="s">
        <v>54</v>
      </c>
      <c r="E278" s="9" t="s">
        <v>368</v>
      </c>
      <c r="F278" s="9"/>
      <c r="G278" s="9"/>
      <c r="H278" s="9"/>
      <c r="I278" s="10"/>
      <c r="J278" s="10"/>
      <c r="K278" s="11" t="n">
        <v>2040</v>
      </c>
      <c r="L278" s="12" t="str">
        <f aca="false">IFERROR(IF(N(J278)=0,"",(K278-J278)/J278),"")</f>
        <v/>
      </c>
      <c r="M278" s="9" t="s">
        <v>427</v>
      </c>
      <c r="N278" s="9" t="s">
        <v>271</v>
      </c>
      <c r="O278" s="9" t="s">
        <v>59</v>
      </c>
      <c r="P278" s="9" t="s">
        <v>13</v>
      </c>
    </row>
    <row r="279" customFormat="false" ht="15" hidden="false" customHeight="false" outlineLevel="0" collapsed="false">
      <c r="A279" s="9" t="s">
        <v>693</v>
      </c>
      <c r="B279" s="9" t="s">
        <v>694</v>
      </c>
      <c r="C279" s="9" t="n">
        <v>68</v>
      </c>
      <c r="D279" s="9" t="s">
        <v>54</v>
      </c>
      <c r="E279" s="9" t="s">
        <v>368</v>
      </c>
      <c r="F279" s="9"/>
      <c r="G279" s="9"/>
      <c r="H279" s="9"/>
      <c r="I279" s="10"/>
      <c r="J279" s="10"/>
      <c r="K279" s="11" t="n">
        <v>1110</v>
      </c>
      <c r="L279" s="12" t="str">
        <f aca="false">IFERROR(IF(N(J279)=0,"",(K279-J279)/J279),"")</f>
        <v/>
      </c>
      <c r="M279" s="9" t="s">
        <v>427</v>
      </c>
      <c r="N279" s="9" t="s">
        <v>666</v>
      </c>
      <c r="O279" s="9" t="s">
        <v>59</v>
      </c>
      <c r="P279" s="9" t="s">
        <v>13</v>
      </c>
    </row>
    <row r="280" customFormat="false" ht="15" hidden="false" customHeight="false" outlineLevel="0" collapsed="false">
      <c r="A280" s="9" t="s">
        <v>695</v>
      </c>
      <c r="B280" s="9" t="s">
        <v>696</v>
      </c>
      <c r="C280" s="9" t="n">
        <v>68</v>
      </c>
      <c r="D280" s="9" t="s">
        <v>54</v>
      </c>
      <c r="E280" s="9" t="s">
        <v>368</v>
      </c>
      <c r="F280" s="9"/>
      <c r="G280" s="9"/>
      <c r="H280" s="9"/>
      <c r="I280" s="10"/>
      <c r="J280" s="10"/>
      <c r="K280" s="11" t="n">
        <v>450</v>
      </c>
      <c r="L280" s="12" t="str">
        <f aca="false">IFERROR(IF(N(J280)=0,"",(K280-J280)/J280),"")</f>
        <v/>
      </c>
      <c r="M280" s="9" t="s">
        <v>427</v>
      </c>
      <c r="N280" s="9" t="s">
        <v>271</v>
      </c>
      <c r="O280" s="9" t="s">
        <v>59</v>
      </c>
      <c r="P280" s="9" t="s">
        <v>13</v>
      </c>
    </row>
    <row r="281" customFormat="false" ht="15" hidden="false" customHeight="false" outlineLevel="0" collapsed="false">
      <c r="A281" s="9" t="s">
        <v>697</v>
      </c>
      <c r="B281" s="9" t="s">
        <v>698</v>
      </c>
      <c r="C281" s="9" t="n">
        <v>68</v>
      </c>
      <c r="D281" s="9" t="s">
        <v>54</v>
      </c>
      <c r="E281" s="9" t="s">
        <v>368</v>
      </c>
      <c r="F281" s="9"/>
      <c r="G281" s="9"/>
      <c r="H281" s="9"/>
      <c r="I281" s="10"/>
      <c r="J281" s="10"/>
      <c r="K281" s="11" t="n">
        <v>825</v>
      </c>
      <c r="L281" s="12" t="str">
        <f aca="false">IFERROR(IF(N(J281)=0,"",(K281-J281)/J281),"")</f>
        <v/>
      </c>
      <c r="M281" s="9" t="s">
        <v>427</v>
      </c>
      <c r="N281" s="9" t="s">
        <v>164</v>
      </c>
      <c r="O281" s="9" t="s">
        <v>59</v>
      </c>
      <c r="P281" s="9" t="s">
        <v>13</v>
      </c>
    </row>
    <row r="282" customFormat="false" ht="15" hidden="false" customHeight="false" outlineLevel="0" collapsed="false">
      <c r="A282" s="9" t="s">
        <v>699</v>
      </c>
      <c r="B282" s="9" t="s">
        <v>700</v>
      </c>
      <c r="C282" s="9" t="n">
        <v>68</v>
      </c>
      <c r="D282" s="9" t="s">
        <v>54</v>
      </c>
      <c r="E282" s="9" t="s">
        <v>368</v>
      </c>
      <c r="F282" s="9"/>
      <c r="G282" s="9"/>
      <c r="H282" s="9"/>
      <c r="I282" s="10"/>
      <c r="J282" s="10"/>
      <c r="K282" s="11" t="n">
        <v>495</v>
      </c>
      <c r="L282" s="12" t="str">
        <f aca="false">IFERROR(IF(N(J282)=0,"",(K282-J282)/J282),"")</f>
        <v/>
      </c>
      <c r="M282" s="9" t="s">
        <v>427</v>
      </c>
      <c r="N282" s="9" t="s">
        <v>86</v>
      </c>
      <c r="O282" s="9" t="s">
        <v>59</v>
      </c>
      <c r="P282" s="9" t="s">
        <v>13</v>
      </c>
    </row>
    <row r="283" customFormat="false" ht="15" hidden="false" customHeight="false" outlineLevel="0" collapsed="false">
      <c r="A283" s="9" t="s">
        <v>701</v>
      </c>
      <c r="B283" s="9" t="s">
        <v>702</v>
      </c>
      <c r="C283" s="9" t="n">
        <v>68</v>
      </c>
      <c r="D283" s="9" t="s">
        <v>54</v>
      </c>
      <c r="E283" s="9" t="s">
        <v>368</v>
      </c>
      <c r="F283" s="9"/>
      <c r="G283" s="9"/>
      <c r="H283" s="9"/>
      <c r="I283" s="10"/>
      <c r="J283" s="10"/>
      <c r="K283" s="11" t="n">
        <v>540</v>
      </c>
      <c r="L283" s="12" t="str">
        <f aca="false">IFERROR(IF(N(J283)=0,"",(K283-J283)/J283),"")</f>
        <v/>
      </c>
      <c r="M283" s="9" t="s">
        <v>427</v>
      </c>
      <c r="N283" s="9" t="s">
        <v>86</v>
      </c>
      <c r="O283" s="9" t="s">
        <v>59</v>
      </c>
      <c r="P283" s="9" t="s">
        <v>13</v>
      </c>
    </row>
    <row r="284" customFormat="false" ht="15" hidden="false" customHeight="false" outlineLevel="0" collapsed="false">
      <c r="A284" s="9" t="s">
        <v>703</v>
      </c>
      <c r="B284" s="9" t="s">
        <v>704</v>
      </c>
      <c r="C284" s="9" t="n">
        <v>68</v>
      </c>
      <c r="D284" s="9" t="s">
        <v>54</v>
      </c>
      <c r="E284" s="9" t="s">
        <v>368</v>
      </c>
      <c r="F284" s="9"/>
      <c r="G284" s="9"/>
      <c r="H284" s="9"/>
      <c r="I284" s="10"/>
      <c r="J284" s="10"/>
      <c r="K284" s="11" t="n">
        <v>465</v>
      </c>
      <c r="L284" s="12" t="str">
        <f aca="false">IFERROR(IF(N(J284)=0,"",(K284-J284)/J284),"")</f>
        <v/>
      </c>
      <c r="M284" s="9" t="s">
        <v>427</v>
      </c>
      <c r="N284" s="9" t="s">
        <v>86</v>
      </c>
      <c r="O284" s="9" t="s">
        <v>59</v>
      </c>
      <c r="P284" s="9" t="s">
        <v>13</v>
      </c>
    </row>
    <row r="285" customFormat="false" ht="15" hidden="false" customHeight="false" outlineLevel="0" collapsed="false">
      <c r="A285" s="9" t="s">
        <v>705</v>
      </c>
      <c r="B285" s="9" t="s">
        <v>706</v>
      </c>
      <c r="C285" s="9" t="n">
        <v>68</v>
      </c>
      <c r="D285" s="9" t="s">
        <v>54</v>
      </c>
      <c r="E285" s="9" t="s">
        <v>368</v>
      </c>
      <c r="F285" s="9"/>
      <c r="G285" s="9"/>
      <c r="H285" s="9"/>
      <c r="I285" s="10"/>
      <c r="J285" s="10"/>
      <c r="K285" s="11" t="n">
        <v>402</v>
      </c>
      <c r="L285" s="12" t="str">
        <f aca="false">IFERROR(IF(N(J285)=0,"",(K285-J285)/J285),"")</f>
        <v/>
      </c>
      <c r="M285" s="9" t="s">
        <v>427</v>
      </c>
      <c r="N285" s="9" t="s">
        <v>100</v>
      </c>
      <c r="O285" s="9" t="s">
        <v>59</v>
      </c>
      <c r="P285" s="9" t="s">
        <v>13</v>
      </c>
    </row>
    <row r="286" customFormat="false" ht="15" hidden="false" customHeight="false" outlineLevel="0" collapsed="false">
      <c r="A286" s="9" t="s">
        <v>707</v>
      </c>
      <c r="B286" s="9" t="s">
        <v>708</v>
      </c>
      <c r="C286" s="9" t="n">
        <v>68</v>
      </c>
      <c r="D286" s="9" t="s">
        <v>54</v>
      </c>
      <c r="E286" s="9" t="s">
        <v>368</v>
      </c>
      <c r="F286" s="9"/>
      <c r="G286" s="9"/>
      <c r="H286" s="9"/>
      <c r="I286" s="10"/>
      <c r="J286" s="10"/>
      <c r="K286" s="11" t="n">
        <v>1200</v>
      </c>
      <c r="L286" s="12" t="str">
        <f aca="false">IFERROR(IF(N(J286)=0,"",(K286-J286)/J286),"")</f>
        <v/>
      </c>
      <c r="M286" s="9" t="s">
        <v>427</v>
      </c>
      <c r="N286" s="9" t="s">
        <v>92</v>
      </c>
      <c r="O286" s="9" t="s">
        <v>87</v>
      </c>
      <c r="P286" s="9" t="s">
        <v>13</v>
      </c>
    </row>
    <row r="287" customFormat="false" ht="15" hidden="false" customHeight="false" outlineLevel="0" collapsed="false">
      <c r="A287" s="9" t="s">
        <v>709</v>
      </c>
      <c r="B287" s="9" t="s">
        <v>710</v>
      </c>
      <c r="C287" s="9" t="n">
        <v>68</v>
      </c>
      <c r="D287" s="9" t="s">
        <v>54</v>
      </c>
      <c r="E287" s="9" t="s">
        <v>368</v>
      </c>
      <c r="F287" s="9"/>
      <c r="G287" s="9"/>
      <c r="H287" s="9"/>
      <c r="I287" s="10"/>
      <c r="J287" s="10"/>
      <c r="K287" s="11" t="n">
        <v>390</v>
      </c>
      <c r="L287" s="12" t="str">
        <f aca="false">IFERROR(IF(N(J287)=0,"",(K287-J287)/J287),"")</f>
        <v/>
      </c>
      <c r="M287" s="9" t="s">
        <v>427</v>
      </c>
      <c r="N287" s="9" t="s">
        <v>475</v>
      </c>
      <c r="O287" s="9" t="s">
        <v>59</v>
      </c>
      <c r="P287" s="9" t="s">
        <v>13</v>
      </c>
    </row>
    <row r="288" customFormat="false" ht="15" hidden="false" customHeight="false" outlineLevel="0" collapsed="false">
      <c r="A288" s="9" t="s">
        <v>711</v>
      </c>
      <c r="B288" s="9" t="s">
        <v>712</v>
      </c>
      <c r="C288" s="9" t="n">
        <v>68</v>
      </c>
      <c r="D288" s="9" t="s">
        <v>54</v>
      </c>
      <c r="E288" s="9" t="s">
        <v>368</v>
      </c>
      <c r="F288" s="9"/>
      <c r="G288" s="9"/>
      <c r="H288" s="9"/>
      <c r="I288" s="10"/>
      <c r="J288" s="10"/>
      <c r="K288" s="11" t="n">
        <v>450</v>
      </c>
      <c r="L288" s="12" t="str">
        <f aca="false">IFERROR(IF(N(J288)=0,"",(K288-J288)/J288),"")</f>
        <v/>
      </c>
      <c r="M288" s="9" t="s">
        <v>427</v>
      </c>
      <c r="N288" s="9" t="s">
        <v>271</v>
      </c>
      <c r="O288" s="9" t="s">
        <v>59</v>
      </c>
      <c r="P288" s="9" t="s">
        <v>13</v>
      </c>
    </row>
    <row r="289" customFormat="false" ht="15" hidden="false" customHeight="false" outlineLevel="0" collapsed="false">
      <c r="A289" s="9" t="s">
        <v>713</v>
      </c>
      <c r="B289" s="9" t="s">
        <v>714</v>
      </c>
      <c r="C289" s="9" t="n">
        <v>68</v>
      </c>
      <c r="D289" s="9" t="s">
        <v>54</v>
      </c>
      <c r="E289" s="9" t="s">
        <v>368</v>
      </c>
      <c r="F289" s="9"/>
      <c r="G289" s="9"/>
      <c r="H289" s="9"/>
      <c r="I289" s="10"/>
      <c r="J289" s="10"/>
      <c r="K289" s="11" t="n">
        <v>660</v>
      </c>
      <c r="L289" s="12" t="str">
        <f aca="false">IFERROR(IF(N(J289)=0,"",(K289-J289)/J289),"")</f>
        <v/>
      </c>
      <c r="M289" s="9" t="s">
        <v>427</v>
      </c>
      <c r="N289" s="9" t="s">
        <v>608</v>
      </c>
      <c r="O289" s="9" t="s">
        <v>59</v>
      </c>
      <c r="P289" s="9" t="s">
        <v>13</v>
      </c>
    </row>
    <row r="290" customFormat="false" ht="15" hidden="false" customHeight="false" outlineLevel="0" collapsed="false">
      <c r="A290" s="9" t="s">
        <v>715</v>
      </c>
      <c r="B290" s="9" t="s">
        <v>716</v>
      </c>
      <c r="C290" s="9" t="n">
        <v>68</v>
      </c>
      <c r="D290" s="9" t="s">
        <v>54</v>
      </c>
      <c r="E290" s="9" t="s">
        <v>368</v>
      </c>
      <c r="F290" s="9"/>
      <c r="G290" s="9"/>
      <c r="H290" s="9"/>
      <c r="I290" s="10"/>
      <c r="J290" s="10"/>
      <c r="K290" s="11" t="n">
        <v>480</v>
      </c>
      <c r="L290" s="12" t="str">
        <f aca="false">IFERROR(IF(N(J290)=0,"",(K290-J290)/J290),"")</f>
        <v/>
      </c>
      <c r="M290" s="9" t="s">
        <v>427</v>
      </c>
      <c r="N290" s="9" t="s">
        <v>608</v>
      </c>
      <c r="O290" s="9" t="s">
        <v>59</v>
      </c>
      <c r="P290" s="9" t="s">
        <v>13</v>
      </c>
    </row>
    <row r="291" customFormat="false" ht="15" hidden="false" customHeight="false" outlineLevel="0" collapsed="false">
      <c r="A291" s="9" t="s">
        <v>717</v>
      </c>
      <c r="B291" s="9" t="s">
        <v>718</v>
      </c>
      <c r="C291" s="9" t="n">
        <v>68</v>
      </c>
      <c r="D291" s="9" t="s">
        <v>54</v>
      </c>
      <c r="E291" s="9" t="s">
        <v>368</v>
      </c>
      <c r="F291" s="9"/>
      <c r="G291" s="9"/>
      <c r="H291" s="9"/>
      <c r="I291" s="10"/>
      <c r="J291" s="10"/>
      <c r="K291" s="11" t="n">
        <v>1020</v>
      </c>
      <c r="L291" s="12" t="str">
        <f aca="false">IFERROR(IF(N(J291)=0,"",(K291-J291)/J291),"")</f>
        <v/>
      </c>
      <c r="M291" s="9" t="s">
        <v>427</v>
      </c>
      <c r="N291" s="9" t="s">
        <v>608</v>
      </c>
      <c r="O291" s="9" t="s">
        <v>59</v>
      </c>
      <c r="P291" s="9" t="s">
        <v>13</v>
      </c>
    </row>
    <row r="292" customFormat="false" ht="15" hidden="false" customHeight="false" outlineLevel="0" collapsed="false">
      <c r="A292" s="9" t="s">
        <v>719</v>
      </c>
      <c r="B292" s="9" t="s">
        <v>720</v>
      </c>
      <c r="C292" s="9" t="n">
        <v>68</v>
      </c>
      <c r="D292" s="9" t="s">
        <v>54</v>
      </c>
      <c r="E292" s="9" t="s">
        <v>368</v>
      </c>
      <c r="F292" s="9"/>
      <c r="G292" s="9"/>
      <c r="H292" s="9"/>
      <c r="I292" s="10"/>
      <c r="J292" s="10"/>
      <c r="K292" s="11" t="n">
        <v>960</v>
      </c>
      <c r="L292" s="12" t="str">
        <f aca="false">IFERROR(IF(N(J292)=0,"",(K292-J292)/J292),"")</f>
        <v/>
      </c>
      <c r="M292" s="9" t="s">
        <v>427</v>
      </c>
      <c r="N292" s="9" t="s">
        <v>608</v>
      </c>
      <c r="O292" s="9" t="s">
        <v>59</v>
      </c>
      <c r="P292" s="9" t="s">
        <v>13</v>
      </c>
    </row>
    <row r="293" customFormat="false" ht="15" hidden="false" customHeight="false" outlineLevel="0" collapsed="false">
      <c r="A293" s="9" t="s">
        <v>721</v>
      </c>
      <c r="B293" s="9" t="s">
        <v>722</v>
      </c>
      <c r="C293" s="9" t="n">
        <v>68</v>
      </c>
      <c r="D293" s="9" t="s">
        <v>54</v>
      </c>
      <c r="E293" s="9" t="s">
        <v>368</v>
      </c>
      <c r="F293" s="9"/>
      <c r="G293" s="9"/>
      <c r="H293" s="9"/>
      <c r="I293" s="10"/>
      <c r="J293" s="10"/>
      <c r="K293" s="11" t="n">
        <v>1400</v>
      </c>
      <c r="L293" s="12" t="str">
        <f aca="false">IFERROR(IF(N(J293)=0,"",(K293-J293)/J293),"")</f>
        <v/>
      </c>
      <c r="M293" s="9" t="s">
        <v>427</v>
      </c>
      <c r="N293" s="9" t="s">
        <v>92</v>
      </c>
      <c r="O293" s="9" t="s">
        <v>59</v>
      </c>
      <c r="P293" s="9" t="s">
        <v>13</v>
      </c>
    </row>
    <row r="294" customFormat="false" ht="15" hidden="false" customHeight="false" outlineLevel="0" collapsed="false">
      <c r="A294" s="9" t="s">
        <v>723</v>
      </c>
      <c r="B294" s="9" t="s">
        <v>724</v>
      </c>
      <c r="C294" s="9" t="n">
        <v>68</v>
      </c>
      <c r="D294" s="9" t="s">
        <v>54</v>
      </c>
      <c r="E294" s="9" t="s">
        <v>368</v>
      </c>
      <c r="F294" s="9"/>
      <c r="G294" s="9"/>
      <c r="H294" s="9"/>
      <c r="I294" s="10"/>
      <c r="J294" s="10"/>
      <c r="K294" s="11" t="n">
        <v>309.58</v>
      </c>
      <c r="L294" s="12" t="str">
        <f aca="false">IFERROR(IF(N(J294)=0,"",(K294-J294)/J294),"")</f>
        <v/>
      </c>
      <c r="M294" s="9" t="s">
        <v>427</v>
      </c>
      <c r="N294" s="9" t="s">
        <v>143</v>
      </c>
      <c r="O294" s="9" t="s">
        <v>59</v>
      </c>
      <c r="P294" s="9" t="s">
        <v>13</v>
      </c>
    </row>
    <row r="295" customFormat="false" ht="15" hidden="false" customHeight="false" outlineLevel="0" collapsed="false">
      <c r="A295" s="9" t="s">
        <v>725</v>
      </c>
      <c r="B295" s="9" t="s">
        <v>726</v>
      </c>
      <c r="C295" s="9" t="n">
        <v>68</v>
      </c>
      <c r="D295" s="9" t="s">
        <v>54</v>
      </c>
      <c r="E295" s="9" t="s">
        <v>368</v>
      </c>
      <c r="F295" s="9"/>
      <c r="G295" s="9"/>
      <c r="H295" s="9"/>
      <c r="I295" s="10"/>
      <c r="J295" s="10"/>
      <c r="K295" s="11" t="n">
        <v>672</v>
      </c>
      <c r="L295" s="12" t="str">
        <f aca="false">IFERROR(IF(N(J295)=0,"",(K295-J295)/J295),"")</f>
        <v/>
      </c>
      <c r="M295" s="9" t="s">
        <v>427</v>
      </c>
      <c r="N295" s="9" t="s">
        <v>100</v>
      </c>
      <c r="O295" s="9" t="s">
        <v>59</v>
      </c>
      <c r="P295" s="9" t="s">
        <v>13</v>
      </c>
    </row>
    <row r="296" customFormat="false" ht="15" hidden="false" customHeight="false" outlineLevel="0" collapsed="false">
      <c r="A296" s="9" t="s">
        <v>727</v>
      </c>
      <c r="B296" s="9" t="s">
        <v>728</v>
      </c>
      <c r="C296" s="9" t="n">
        <v>68</v>
      </c>
      <c r="D296" s="9" t="s">
        <v>54</v>
      </c>
      <c r="E296" s="9" t="s">
        <v>368</v>
      </c>
      <c r="F296" s="9"/>
      <c r="G296" s="9"/>
      <c r="H296" s="9"/>
      <c r="I296" s="10"/>
      <c r="J296" s="10"/>
      <c r="K296" s="11" t="n">
        <v>401.65</v>
      </c>
      <c r="L296" s="12" t="str">
        <f aca="false">IFERROR(IF(N(J296)=0,"",(K296-J296)/J296),"")</f>
        <v/>
      </c>
      <c r="M296" s="9" t="s">
        <v>427</v>
      </c>
      <c r="N296" s="9" t="s">
        <v>729</v>
      </c>
      <c r="O296" s="9" t="s">
        <v>59</v>
      </c>
      <c r="P296" s="9" t="s">
        <v>13</v>
      </c>
    </row>
    <row r="297" customFormat="false" ht="15" hidden="false" customHeight="false" outlineLevel="0" collapsed="false">
      <c r="A297" s="9" t="s">
        <v>730</v>
      </c>
      <c r="B297" s="9" t="s">
        <v>731</v>
      </c>
      <c r="C297" s="9" t="n">
        <v>68</v>
      </c>
      <c r="D297" s="9" t="s">
        <v>444</v>
      </c>
      <c r="E297" s="9" t="s">
        <v>368</v>
      </c>
      <c r="F297" s="9"/>
      <c r="G297" s="9"/>
      <c r="H297" s="9"/>
      <c r="I297" s="10"/>
      <c r="J297" s="10"/>
      <c r="K297" s="11" t="n">
        <v>528</v>
      </c>
      <c r="L297" s="12" t="str">
        <f aca="false">IFERROR(IF(N(J297)=0,"",(K297-J297)/J297),"")</f>
        <v/>
      </c>
      <c r="M297" s="9" t="s">
        <v>427</v>
      </c>
      <c r="N297" s="9" t="s">
        <v>100</v>
      </c>
      <c r="O297" s="9" t="s">
        <v>59</v>
      </c>
      <c r="P297" s="9" t="s">
        <v>13</v>
      </c>
    </row>
  </sheetData>
  <autoFilter ref="A2:P297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" t="s">
        <v>732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733</v>
      </c>
      <c r="B2" s="15"/>
      <c r="C2" s="15"/>
      <c r="D2" s="15"/>
      <c r="E2" s="15"/>
      <c r="F2" s="15"/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39</v>
      </c>
      <c r="D4" s="8" t="s">
        <v>734</v>
      </c>
      <c r="E4" s="8" t="s">
        <v>43</v>
      </c>
      <c r="F4" s="8" t="s">
        <v>735</v>
      </c>
    </row>
    <row r="5" customFormat="false" ht="15" hidden="false" customHeight="false" outlineLevel="0" collapsed="false">
      <c r="A5" s="9" t="s">
        <v>736</v>
      </c>
      <c r="B5" s="9" t="s">
        <v>737</v>
      </c>
      <c r="C5" s="9" t="s">
        <v>738</v>
      </c>
      <c r="D5" s="9" t="s">
        <v>62</v>
      </c>
      <c r="E5" s="9" t="n">
        <v>800</v>
      </c>
      <c r="F5" s="10" t="n">
        <v>187.25</v>
      </c>
    </row>
    <row r="6" customFormat="false" ht="15" hidden="false" customHeight="false" outlineLevel="0" collapsed="false">
      <c r="A6" s="9" t="s">
        <v>739</v>
      </c>
      <c r="B6" s="9" t="s">
        <v>740</v>
      </c>
      <c r="C6" s="9" t="s">
        <v>741</v>
      </c>
      <c r="D6" s="9" t="s">
        <v>74</v>
      </c>
      <c r="E6" s="9" t="n">
        <v>6</v>
      </c>
      <c r="F6" s="10" t="n">
        <v>133.65</v>
      </c>
    </row>
    <row r="7" customFormat="false" ht="15" hidden="false" customHeight="false" outlineLevel="0" collapsed="false">
      <c r="A7" s="9" t="s">
        <v>742</v>
      </c>
      <c r="B7" s="9" t="s">
        <v>743</v>
      </c>
      <c r="C7" s="9" t="s">
        <v>744</v>
      </c>
      <c r="D7" s="9" t="s">
        <v>74</v>
      </c>
      <c r="E7" s="9" t="n">
        <v>1000</v>
      </c>
      <c r="F7" s="10" t="n">
        <v>23.22</v>
      </c>
    </row>
    <row r="8" customFormat="false" ht="15" hidden="false" customHeight="false" outlineLevel="0" collapsed="false">
      <c r="A8" s="9" t="s">
        <v>745</v>
      </c>
      <c r="B8" s="9" t="s">
        <v>746</v>
      </c>
      <c r="C8" s="9" t="s">
        <v>747</v>
      </c>
      <c r="D8" s="9" t="s">
        <v>62</v>
      </c>
      <c r="E8" s="9" t="n">
        <v>15</v>
      </c>
      <c r="F8" s="10"/>
    </row>
    <row r="9" customFormat="false" ht="15" hidden="false" customHeight="false" outlineLevel="0" collapsed="false">
      <c r="A9" s="9" t="s">
        <v>748</v>
      </c>
      <c r="B9" s="9" t="s">
        <v>749</v>
      </c>
      <c r="C9" s="9" t="s">
        <v>741</v>
      </c>
      <c r="D9" s="9" t="s">
        <v>85</v>
      </c>
      <c r="E9" s="9" t="n">
        <v>1000</v>
      </c>
      <c r="F9" s="10" t="n">
        <v>56.15</v>
      </c>
    </row>
    <row r="10" customFormat="false" ht="15" hidden="false" customHeight="false" outlineLevel="0" collapsed="false">
      <c r="A10" s="9" t="s">
        <v>750</v>
      </c>
      <c r="B10" s="9" t="s">
        <v>751</v>
      </c>
      <c r="C10" s="9" t="s">
        <v>752</v>
      </c>
      <c r="D10" s="9" t="s">
        <v>85</v>
      </c>
      <c r="E10" s="9" t="n">
        <v>10000</v>
      </c>
      <c r="F10" s="10" t="n">
        <v>7.97</v>
      </c>
    </row>
    <row r="11" customFormat="false" ht="15" hidden="false" customHeight="false" outlineLevel="0" collapsed="false">
      <c r="A11" s="9" t="s">
        <v>753</v>
      </c>
      <c r="B11" s="9" t="s">
        <v>754</v>
      </c>
      <c r="C11" s="9" t="s">
        <v>755</v>
      </c>
      <c r="D11" s="9" t="s">
        <v>62</v>
      </c>
      <c r="E11" s="9" t="n">
        <v>1000</v>
      </c>
      <c r="F11" s="10" t="n">
        <v>58.85</v>
      </c>
    </row>
    <row r="12" customFormat="false" ht="15" hidden="false" customHeight="false" outlineLevel="0" collapsed="false">
      <c r="A12" s="9" t="s">
        <v>756</v>
      </c>
      <c r="B12" s="9" t="s">
        <v>757</v>
      </c>
      <c r="C12" s="9" t="s">
        <v>758</v>
      </c>
      <c r="D12" s="9" t="s">
        <v>55</v>
      </c>
      <c r="E12" s="9" t="n">
        <v>10</v>
      </c>
      <c r="F12" s="10"/>
    </row>
    <row r="13" customFormat="false" ht="15" hidden="false" customHeight="false" outlineLevel="0" collapsed="false">
      <c r="A13" s="9" t="s">
        <v>759</v>
      </c>
      <c r="B13" s="9" t="s">
        <v>760</v>
      </c>
      <c r="C13" s="9" t="s">
        <v>758</v>
      </c>
      <c r="D13" s="9" t="s">
        <v>55</v>
      </c>
      <c r="E13" s="9" t="n">
        <v>10</v>
      </c>
      <c r="F13" s="10"/>
    </row>
    <row r="14" customFormat="false" ht="15" hidden="false" customHeight="false" outlineLevel="0" collapsed="false">
      <c r="A14" s="9" t="s">
        <v>761</v>
      </c>
      <c r="B14" s="9" t="s">
        <v>762</v>
      </c>
      <c r="C14" s="9" t="s">
        <v>758</v>
      </c>
      <c r="D14" s="9" t="s">
        <v>55</v>
      </c>
      <c r="E14" s="9" t="n">
        <v>20</v>
      </c>
      <c r="F14" s="10"/>
    </row>
    <row r="15" customFormat="false" ht="15" hidden="false" customHeight="false" outlineLevel="0" collapsed="false">
      <c r="A15" s="9" t="s">
        <v>763</v>
      </c>
      <c r="B15" s="9" t="s">
        <v>388</v>
      </c>
      <c r="C15" s="9" t="s">
        <v>744</v>
      </c>
      <c r="D15" s="9" t="s">
        <v>74</v>
      </c>
      <c r="E15" s="9" t="n">
        <v>100</v>
      </c>
      <c r="F15" s="10" t="n">
        <v>58.97</v>
      </c>
    </row>
    <row r="16" customFormat="false" ht="15" hidden="false" customHeight="false" outlineLevel="0" collapsed="false">
      <c r="A16" s="9" t="s">
        <v>764</v>
      </c>
      <c r="B16" s="9" t="s">
        <v>765</v>
      </c>
      <c r="C16" s="9" t="s">
        <v>747</v>
      </c>
      <c r="D16" s="9" t="s">
        <v>85</v>
      </c>
      <c r="E16" s="9" t="n">
        <v>40</v>
      </c>
      <c r="F16" s="10"/>
    </row>
    <row r="17" customFormat="false" ht="15" hidden="false" customHeight="false" outlineLevel="0" collapsed="false">
      <c r="A17" s="9" t="s">
        <v>766</v>
      </c>
      <c r="B17" s="9" t="s">
        <v>767</v>
      </c>
      <c r="C17" s="9" t="s">
        <v>747</v>
      </c>
      <c r="D17" s="9" t="s">
        <v>85</v>
      </c>
      <c r="E17" s="9" t="n">
        <v>30</v>
      </c>
      <c r="F17" s="10"/>
    </row>
    <row r="18" customFormat="false" ht="15" hidden="false" customHeight="false" outlineLevel="0" collapsed="false">
      <c r="A18" s="9" t="s">
        <v>768</v>
      </c>
      <c r="B18" s="9" t="s">
        <v>769</v>
      </c>
      <c r="C18" s="9" t="s">
        <v>770</v>
      </c>
      <c r="D18" s="9" t="s">
        <v>81</v>
      </c>
      <c r="E18" s="9" t="n">
        <v>1000</v>
      </c>
      <c r="F18" s="10" t="n">
        <v>232.18</v>
      </c>
    </row>
    <row r="19" customFormat="false" ht="15" hidden="false" customHeight="false" outlineLevel="0" collapsed="false">
      <c r="A19" s="9" t="s">
        <v>771</v>
      </c>
      <c r="B19" s="9" t="s">
        <v>772</v>
      </c>
      <c r="C19" s="9" t="s">
        <v>773</v>
      </c>
      <c r="D19" s="9" t="s">
        <v>62</v>
      </c>
      <c r="E19" s="9" t="n">
        <v>3000</v>
      </c>
      <c r="F19" s="10" t="n">
        <v>350.96</v>
      </c>
    </row>
    <row r="20" customFormat="false" ht="15" hidden="false" customHeight="false" outlineLevel="0" collapsed="false">
      <c r="A20" s="9" t="s">
        <v>774</v>
      </c>
      <c r="B20" s="9" t="s">
        <v>775</v>
      </c>
      <c r="C20" s="9" t="s">
        <v>773</v>
      </c>
      <c r="D20" s="9" t="s">
        <v>62</v>
      </c>
      <c r="E20" s="9" t="n">
        <v>3000</v>
      </c>
      <c r="F20" s="10" t="n">
        <v>406.6</v>
      </c>
    </row>
    <row r="21" customFormat="false" ht="15" hidden="false" customHeight="false" outlineLevel="0" collapsed="false">
      <c r="A21" s="9" t="s">
        <v>776</v>
      </c>
      <c r="B21" s="9" t="s">
        <v>777</v>
      </c>
      <c r="C21" s="9" t="s">
        <v>778</v>
      </c>
      <c r="D21" s="9" t="s">
        <v>74</v>
      </c>
      <c r="E21" s="9" t="n">
        <v>500</v>
      </c>
      <c r="F21" s="10" t="n">
        <v>58.85</v>
      </c>
    </row>
    <row r="22" customFormat="false" ht="15" hidden="false" customHeight="false" outlineLevel="0" collapsed="false">
      <c r="A22" s="9" t="s">
        <v>779</v>
      </c>
      <c r="B22" s="9" t="s">
        <v>780</v>
      </c>
      <c r="C22" s="9" t="s">
        <v>747</v>
      </c>
      <c r="D22" s="9" t="s">
        <v>62</v>
      </c>
      <c r="E22" s="9" t="n">
        <v>4</v>
      </c>
      <c r="F22" s="10" t="n">
        <v>47.92</v>
      </c>
    </row>
    <row r="23" customFormat="false" ht="15" hidden="false" customHeight="false" outlineLevel="0" collapsed="false">
      <c r="A23" s="9" t="s">
        <v>781</v>
      </c>
      <c r="B23" s="9" t="s">
        <v>782</v>
      </c>
      <c r="C23" s="9" t="s">
        <v>758</v>
      </c>
      <c r="D23" s="9" t="s">
        <v>106</v>
      </c>
      <c r="E23" s="9" t="n">
        <v>22.5</v>
      </c>
      <c r="F23" s="10"/>
    </row>
    <row r="24" customFormat="false" ht="15" hidden="false" customHeight="false" outlineLevel="0" collapsed="false">
      <c r="A24" s="9" t="s">
        <v>783</v>
      </c>
      <c r="B24" s="9" t="s">
        <v>784</v>
      </c>
      <c r="C24" s="9" t="s">
        <v>785</v>
      </c>
      <c r="D24" s="9" t="s">
        <v>62</v>
      </c>
      <c r="E24" s="9" t="n">
        <v>1000</v>
      </c>
      <c r="F24" s="10" t="n">
        <v>53.5</v>
      </c>
    </row>
    <row r="25" customFormat="false" ht="15" hidden="false" customHeight="false" outlineLevel="0" collapsed="false">
      <c r="A25" s="9" t="s">
        <v>786</v>
      </c>
      <c r="B25" s="9" t="s">
        <v>787</v>
      </c>
      <c r="C25" s="9" t="s">
        <v>758</v>
      </c>
      <c r="D25" s="9" t="s">
        <v>85</v>
      </c>
      <c r="E25" s="9" t="n">
        <v>1</v>
      </c>
      <c r="F25" s="10"/>
    </row>
    <row r="26" customFormat="false" ht="15" hidden="false" customHeight="false" outlineLevel="0" collapsed="false">
      <c r="A26" s="9" t="s">
        <v>788</v>
      </c>
      <c r="B26" s="9" t="s">
        <v>789</v>
      </c>
      <c r="C26" s="9" t="s">
        <v>758</v>
      </c>
      <c r="D26" s="9" t="s">
        <v>62</v>
      </c>
      <c r="E26" s="9" t="n">
        <v>10</v>
      </c>
      <c r="F26" s="10"/>
    </row>
    <row r="27" customFormat="false" ht="15" hidden="false" customHeight="false" outlineLevel="0" collapsed="false">
      <c r="A27" s="9" t="s">
        <v>790</v>
      </c>
      <c r="B27" s="9" t="s">
        <v>791</v>
      </c>
      <c r="C27" s="9" t="s">
        <v>758</v>
      </c>
      <c r="D27" s="9" t="s">
        <v>55</v>
      </c>
      <c r="E27" s="9" t="n">
        <v>1</v>
      </c>
      <c r="F27" s="10"/>
    </row>
    <row r="28" customFormat="false" ht="15" hidden="false" customHeight="false" outlineLevel="0" collapsed="false">
      <c r="A28" s="9" t="s">
        <v>792</v>
      </c>
      <c r="B28" s="9" t="s">
        <v>793</v>
      </c>
      <c r="C28" s="9" t="s">
        <v>758</v>
      </c>
      <c r="D28" s="9" t="s">
        <v>62</v>
      </c>
      <c r="E28" s="9" t="n">
        <v>15</v>
      </c>
      <c r="F28" s="10"/>
    </row>
    <row r="29" customFormat="false" ht="15" hidden="false" customHeight="false" outlineLevel="0" collapsed="false">
      <c r="A29" s="9" t="s">
        <v>794</v>
      </c>
      <c r="B29" s="9" t="s">
        <v>795</v>
      </c>
      <c r="C29" s="9" t="s">
        <v>758</v>
      </c>
      <c r="D29" s="9" t="s">
        <v>62</v>
      </c>
      <c r="E29" s="9" t="n">
        <v>10</v>
      </c>
      <c r="F29" s="10"/>
    </row>
    <row r="30" customFormat="false" ht="15" hidden="false" customHeight="false" outlineLevel="0" collapsed="false">
      <c r="A30" s="9" t="s">
        <v>796</v>
      </c>
      <c r="B30" s="9" t="s">
        <v>797</v>
      </c>
      <c r="C30" s="9" t="s">
        <v>758</v>
      </c>
      <c r="D30" s="9" t="s">
        <v>55</v>
      </c>
      <c r="E30" s="9" t="n">
        <v>15</v>
      </c>
      <c r="F30" s="10"/>
    </row>
    <row r="31" customFormat="false" ht="15" hidden="false" customHeight="false" outlineLevel="0" collapsed="false">
      <c r="A31" s="9" t="s">
        <v>798</v>
      </c>
      <c r="B31" s="9" t="s">
        <v>799</v>
      </c>
      <c r="C31" s="9" t="s">
        <v>800</v>
      </c>
      <c r="D31" s="9" t="s">
        <v>74</v>
      </c>
      <c r="E31" s="9" t="n">
        <v>1000</v>
      </c>
      <c r="F31" s="10" t="n">
        <v>25.68</v>
      </c>
    </row>
    <row r="32" customFormat="false" ht="15" hidden="false" customHeight="false" outlineLevel="0" collapsed="false">
      <c r="A32" s="9" t="s">
        <v>801</v>
      </c>
      <c r="B32" s="9" t="s">
        <v>802</v>
      </c>
      <c r="C32" s="9" t="s">
        <v>758</v>
      </c>
      <c r="D32" s="9" t="s">
        <v>85</v>
      </c>
      <c r="E32" s="9" t="n">
        <v>400</v>
      </c>
      <c r="F32" s="10" t="n">
        <v>1622.12</v>
      </c>
    </row>
    <row r="33" customFormat="false" ht="15" hidden="false" customHeight="false" outlineLevel="0" collapsed="false">
      <c r="A33" s="9" t="s">
        <v>803</v>
      </c>
      <c r="B33" s="9" t="s">
        <v>804</v>
      </c>
      <c r="C33" s="9" t="s">
        <v>747</v>
      </c>
      <c r="D33" s="9" t="s">
        <v>85</v>
      </c>
      <c r="E33" s="9" t="n">
        <v>6</v>
      </c>
      <c r="F33" s="10" t="n">
        <v>1531.2</v>
      </c>
    </row>
    <row r="34" customFormat="false" ht="15" hidden="false" customHeight="false" outlineLevel="0" collapsed="false">
      <c r="A34" s="9" t="s">
        <v>805</v>
      </c>
      <c r="B34" s="9" t="s">
        <v>806</v>
      </c>
      <c r="C34" s="9" t="s">
        <v>747</v>
      </c>
      <c r="D34" s="9" t="s">
        <v>85</v>
      </c>
      <c r="E34" s="9" t="n">
        <v>300</v>
      </c>
      <c r="F34" s="10" t="n">
        <v>1765.5</v>
      </c>
    </row>
    <row r="35" customFormat="false" ht="15" hidden="false" customHeight="false" outlineLevel="0" collapsed="false">
      <c r="A35" s="9" t="s">
        <v>807</v>
      </c>
      <c r="B35" s="9" t="s">
        <v>808</v>
      </c>
      <c r="C35" s="9" t="s">
        <v>758</v>
      </c>
      <c r="D35" s="9" t="s">
        <v>55</v>
      </c>
      <c r="E35" s="9" t="n">
        <v>1000</v>
      </c>
      <c r="F35" s="10"/>
    </row>
    <row r="36" customFormat="false" ht="15" hidden="false" customHeight="false" outlineLevel="0" collapsed="false">
      <c r="A36" s="9" t="s">
        <v>809</v>
      </c>
      <c r="B36" s="9" t="s">
        <v>810</v>
      </c>
      <c r="C36" s="9" t="s">
        <v>811</v>
      </c>
      <c r="D36" s="9" t="s">
        <v>74</v>
      </c>
      <c r="E36" s="9" t="n">
        <v>11340</v>
      </c>
      <c r="F36" s="10" t="n">
        <v>3424</v>
      </c>
    </row>
    <row r="37" customFormat="false" ht="15" hidden="false" customHeight="false" outlineLevel="0" collapsed="false">
      <c r="A37" s="9" t="s">
        <v>812</v>
      </c>
      <c r="B37" s="9" t="s">
        <v>813</v>
      </c>
      <c r="C37" s="9" t="s">
        <v>814</v>
      </c>
      <c r="D37" s="9" t="s">
        <v>74</v>
      </c>
      <c r="E37" s="9" t="n">
        <v>1000</v>
      </c>
      <c r="F37" s="10" t="n">
        <v>116.63</v>
      </c>
    </row>
    <row r="38" customFormat="false" ht="15" hidden="false" customHeight="false" outlineLevel="0" collapsed="false">
      <c r="A38" s="9" t="s">
        <v>815</v>
      </c>
      <c r="B38" s="9" t="s">
        <v>816</v>
      </c>
      <c r="C38" s="9" t="s">
        <v>758</v>
      </c>
      <c r="D38" s="9" t="s">
        <v>106</v>
      </c>
      <c r="E38" s="9" t="n">
        <v>25</v>
      </c>
      <c r="F38" s="10"/>
    </row>
    <row r="39" customFormat="false" ht="15" hidden="false" customHeight="false" outlineLevel="0" collapsed="false">
      <c r="A39" s="9" t="s">
        <v>817</v>
      </c>
      <c r="B39" s="9" t="s">
        <v>818</v>
      </c>
      <c r="C39" s="9" t="s">
        <v>758</v>
      </c>
      <c r="D39" s="9" t="s">
        <v>106</v>
      </c>
      <c r="E39" s="9" t="n">
        <v>25</v>
      </c>
      <c r="F39" s="10"/>
    </row>
    <row r="40" customFormat="false" ht="15" hidden="false" customHeight="false" outlineLevel="0" collapsed="false">
      <c r="A40" s="9" t="s">
        <v>819</v>
      </c>
      <c r="B40" s="9" t="s">
        <v>820</v>
      </c>
      <c r="C40" s="9" t="s">
        <v>758</v>
      </c>
      <c r="D40" s="9" t="s">
        <v>85</v>
      </c>
      <c r="E40" s="9" t="n">
        <v>10</v>
      </c>
      <c r="F40" s="10"/>
    </row>
    <row r="41" customFormat="false" ht="15" hidden="false" customHeight="false" outlineLevel="0" collapsed="false">
      <c r="A41" s="9" t="s">
        <v>821</v>
      </c>
      <c r="B41" s="9" t="s">
        <v>822</v>
      </c>
      <c r="C41" s="9" t="s">
        <v>758</v>
      </c>
      <c r="D41" s="9" t="s">
        <v>85</v>
      </c>
      <c r="E41" s="9" t="n">
        <v>10</v>
      </c>
      <c r="F41" s="10"/>
    </row>
    <row r="42" customFormat="false" ht="15" hidden="false" customHeight="false" outlineLevel="0" collapsed="false">
      <c r="A42" s="9" t="s">
        <v>823</v>
      </c>
      <c r="B42" s="9" t="s">
        <v>824</v>
      </c>
      <c r="C42" s="9" t="s">
        <v>758</v>
      </c>
      <c r="D42" s="9" t="s">
        <v>85</v>
      </c>
      <c r="E42" s="9" t="n">
        <v>10</v>
      </c>
      <c r="F42" s="10"/>
    </row>
    <row r="43" customFormat="false" ht="15" hidden="false" customHeight="false" outlineLevel="0" collapsed="false">
      <c r="A43" s="9" t="s">
        <v>825</v>
      </c>
      <c r="B43" s="9" t="s">
        <v>826</v>
      </c>
      <c r="C43" s="9" t="s">
        <v>758</v>
      </c>
      <c r="D43" s="9" t="s">
        <v>55</v>
      </c>
      <c r="E43" s="9" t="n">
        <v>120</v>
      </c>
      <c r="F43" s="10" t="n">
        <v>812.77</v>
      </c>
    </row>
    <row r="44" customFormat="false" ht="15" hidden="false" customHeight="false" outlineLevel="0" collapsed="false">
      <c r="A44" s="9" t="s">
        <v>827</v>
      </c>
      <c r="B44" s="9" t="s">
        <v>828</v>
      </c>
      <c r="C44" s="9" t="s">
        <v>758</v>
      </c>
      <c r="D44" s="9" t="s">
        <v>55</v>
      </c>
      <c r="E44" s="9" t="n">
        <v>1000</v>
      </c>
      <c r="F44" s="10" t="n">
        <v>725.46</v>
      </c>
    </row>
    <row r="45" customFormat="false" ht="15" hidden="false" customHeight="false" outlineLevel="0" collapsed="false">
      <c r="A45" s="9" t="s">
        <v>829</v>
      </c>
      <c r="B45" s="9" t="s">
        <v>830</v>
      </c>
      <c r="C45" s="9" t="s">
        <v>758</v>
      </c>
      <c r="D45" s="9" t="s">
        <v>85</v>
      </c>
      <c r="E45" s="9" t="n">
        <v>100</v>
      </c>
      <c r="F45" s="10" t="n">
        <v>310.3</v>
      </c>
    </row>
    <row r="46" customFormat="false" ht="15" hidden="false" customHeight="false" outlineLevel="0" collapsed="false">
      <c r="A46" s="9" t="s">
        <v>831</v>
      </c>
      <c r="B46" s="9" t="s">
        <v>832</v>
      </c>
      <c r="C46" s="9" t="s">
        <v>758</v>
      </c>
      <c r="D46" s="9" t="s">
        <v>85</v>
      </c>
      <c r="E46" s="9" t="n">
        <v>225</v>
      </c>
      <c r="F46" s="10" t="n">
        <v>599.47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833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5" t="s">
        <v>834</v>
      </c>
      <c r="B2" s="15"/>
      <c r="C2" s="15"/>
      <c r="D2" s="15"/>
      <c r="E2" s="15"/>
      <c r="F2" s="15"/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835</v>
      </c>
      <c r="D4" s="8" t="s">
        <v>836</v>
      </c>
      <c r="E4" s="8" t="s">
        <v>837</v>
      </c>
      <c r="F4" s="8" t="s">
        <v>838</v>
      </c>
    </row>
    <row r="5" customFormat="false" ht="15" hidden="false" customHeight="false" outlineLevel="0" collapsed="false">
      <c r="A5" s="9" t="s">
        <v>679</v>
      </c>
      <c r="B5" s="9" t="s">
        <v>680</v>
      </c>
      <c r="C5" s="9" t="n">
        <v>252</v>
      </c>
      <c r="D5" s="14" t="n">
        <v>260.4</v>
      </c>
      <c r="E5" s="9" t="n">
        <v>252</v>
      </c>
      <c r="F5" s="9" t="s">
        <v>839</v>
      </c>
    </row>
    <row r="6" customFormat="false" ht="15" hidden="false" customHeight="false" outlineLevel="0" collapsed="false">
      <c r="A6" s="9" t="s">
        <v>478</v>
      </c>
      <c r="B6" s="9" t="s">
        <v>479</v>
      </c>
      <c r="C6" s="9" t="n">
        <v>716.6124</v>
      </c>
      <c r="D6" s="14" t="n">
        <v>691.8239</v>
      </c>
      <c r="E6" s="9" t="n">
        <v>716.6124</v>
      </c>
      <c r="F6" s="9" t="s">
        <v>839</v>
      </c>
    </row>
    <row r="7" customFormat="false" ht="15" hidden="false" customHeight="false" outlineLevel="0" collapsed="false">
      <c r="A7" s="9" t="s">
        <v>72</v>
      </c>
      <c r="B7" s="9" t="s">
        <v>73</v>
      </c>
      <c r="C7" s="9" t="n">
        <v>106.74</v>
      </c>
      <c r="D7" s="14" t="s">
        <v>70</v>
      </c>
      <c r="E7" s="9" t="n">
        <v>106.74</v>
      </c>
      <c r="F7" s="9" t="s">
        <v>840</v>
      </c>
    </row>
    <row r="8" customFormat="false" ht="15" hidden="false" customHeight="false" outlineLevel="0" collapsed="false">
      <c r="A8" s="9" t="s">
        <v>68</v>
      </c>
      <c r="B8" s="9" t="s">
        <v>69</v>
      </c>
      <c r="C8" s="9" t="n">
        <v>227.8</v>
      </c>
      <c r="D8" s="14" t="s">
        <v>70</v>
      </c>
      <c r="E8" s="9" t="n">
        <v>227.8</v>
      </c>
      <c r="F8" s="9" t="s">
        <v>840</v>
      </c>
    </row>
    <row r="9" customFormat="false" ht="15" hidden="false" customHeight="false" outlineLevel="0" collapsed="false">
      <c r="A9" s="9" t="s">
        <v>258</v>
      </c>
      <c r="B9" s="9" t="s">
        <v>259</v>
      </c>
      <c r="C9" s="9" t="n">
        <v>26</v>
      </c>
      <c r="D9" s="14" t="s">
        <v>70</v>
      </c>
      <c r="E9" s="9" t="n">
        <v>26</v>
      </c>
      <c r="F9" s="9" t="s">
        <v>840</v>
      </c>
    </row>
    <row r="11" customFormat="false" ht="15" hidden="false" customHeight="false" outlineLevel="0" collapsed="false">
      <c r="A11" s="16" t="s">
        <v>841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842</v>
      </c>
      <c r="B1" s="1"/>
    </row>
    <row r="2" customFormat="false" ht="15" hidden="false" customHeight="false" outlineLevel="0" collapsed="false">
      <c r="A2" s="15" t="s">
        <v>843</v>
      </c>
      <c r="B2" s="15"/>
    </row>
    <row r="4" customFormat="false" ht="15" hidden="false" customHeight="false" outlineLevel="0" collapsed="false">
      <c r="A4" s="9" t="s">
        <v>844</v>
      </c>
      <c r="B4" s="17" t="n">
        <f aca="false">COUNTA(PriceImport!A3:A297)</f>
        <v>295</v>
      </c>
    </row>
    <row r="5" customFormat="false" ht="15" hidden="false" customHeight="false" outlineLevel="0" collapsed="false">
      <c r="A5" s="9" t="s">
        <v>845</v>
      </c>
      <c r="B5" s="17" t="n">
        <f aca="false">COUNTIF(PriceImport!E3:E297,"Y")</f>
        <v>122</v>
      </c>
    </row>
    <row r="6" customFormat="false" ht="15" hidden="false" customHeight="false" outlineLevel="0" collapsed="false">
      <c r="A6" s="9" t="s">
        <v>846</v>
      </c>
      <c r="B6" s="17" t="n">
        <f aca="false">COUNTIF(PriceImport!M3:M297,"CHANGED")</f>
        <v>29</v>
      </c>
    </row>
    <row r="7" customFormat="false" ht="15" hidden="false" customHeight="false" outlineLevel="0" collapsed="false">
      <c r="A7" s="9" t="s">
        <v>847</v>
      </c>
      <c r="B7" s="17" t="n">
        <f aca="false">COUNTIF(PriceImport!M3:M297,"Unchanged")</f>
        <v>61</v>
      </c>
    </row>
    <row r="8" customFormat="false" ht="15" hidden="false" customHeight="false" outlineLevel="0" collapsed="false">
      <c r="A8" s="9" t="s">
        <v>848</v>
      </c>
      <c r="B8" s="17" t="n">
        <f aca="false">COUNTIF(PriceImport!M3:M297,"NEW*")</f>
        <v>23</v>
      </c>
    </row>
    <row r="9" customFormat="false" ht="15" hidden="false" customHeight="false" outlineLevel="0" collapsed="false">
      <c r="A9" s="9" t="s">
        <v>849</v>
      </c>
      <c r="B9" s="17" t="n">
        <f aca="false">COUNTIF(PriceImport!M3:M297,"NO PRICE*")</f>
        <v>38</v>
      </c>
    </row>
    <row r="10" customFormat="false" ht="15" hidden="false" customHeight="false" outlineLevel="0" collapsed="false">
      <c r="A10" s="9" t="s">
        <v>850</v>
      </c>
      <c r="B10" s="17" t="n">
        <f aca="false">COUNTIF(PriceImport!M3:M297,"Not countable*")</f>
        <v>144</v>
      </c>
    </row>
    <row r="11" customFormat="false" ht="15" hidden="false" customHeight="false" outlineLevel="0" collapsed="false">
      <c r="A11" s="9" t="s">
        <v>851</v>
      </c>
      <c r="B11" s="17" t="n">
        <f aca="false">COUNTIF(PriceImport!D3:D297,"N*")</f>
        <v>7</v>
      </c>
    </row>
    <row r="12" customFormat="false" ht="15" hidden="false" customHeight="false" outlineLevel="0" collapsed="false">
      <c r="A12" s="9" t="s">
        <v>852</v>
      </c>
      <c r="B12" s="17" t="n">
        <f aca="false">SUMPRODUCT((ABS(N(PriceImport!L3:L297))&gt;0.2)*1)</f>
        <v>19</v>
      </c>
    </row>
    <row r="13" customFormat="false" ht="15" hidden="false" customHeight="false" outlineLevel="0" collapsed="false">
      <c r="A13" s="9" t="s">
        <v>853</v>
      </c>
      <c r="B13" s="17" t="n">
        <f aca="false">COUNTA(NoPriceInSource!A5:A46)</f>
        <v>42</v>
      </c>
    </row>
    <row r="14" customFormat="false" ht="15" hidden="false" customHeight="false" outlineLevel="0" collapsed="false">
      <c r="A14" s="9" t="s">
        <v>854</v>
      </c>
      <c r="B14" s="17" t="n">
        <f aca="false">COUNTA(Conflicts!A5:A9)</f>
        <v>5</v>
      </c>
    </row>
    <row r="16" customFormat="false" ht="15" hidden="false" customHeight="false" outlineLevel="0" collapsed="false">
      <c r="A16" s="16" t="s">
        <v>855</v>
      </c>
    </row>
    <row r="17" customFormat="false" ht="15" hidden="false" customHeight="false" outlineLevel="0" collapsed="false">
      <c r="A17" s="16" t="s">
        <v>856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2026-08-14T01:38:19Z</dcterms:created>
  <dc:creator>openpyxl</dc:creator>
  <dc:description/>
  <dc:language>en-US</dc:language>
  <cp:lastModifiedBy/>
  <dcterms:modified xsi:type="dcterms:W3CDTF">2026-08-14T01:38:19Z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